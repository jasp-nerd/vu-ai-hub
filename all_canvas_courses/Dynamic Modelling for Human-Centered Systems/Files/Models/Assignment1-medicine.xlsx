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7902"/>
  <workbookPr defaultThemeVersion="124226"/>
  <bookViews>
    <workbookView xWindow="120" yWindow="75" windowWidth="10410" windowHeight="6735" firstSheet="1" activeTab="1" xr2:uid="{00000000-000D-0000-FFFF-FFFF00000000}"/>
  </bookViews>
  <sheets>
    <sheet name="Basic model" sheetId="1" r:id="rId1"/>
    <sheet name="Random factor" sheetId="2" r:id="rId2"/>
    <sheet name="Blad3" sheetId="3" r:id="rId3"/>
  </sheets>
  <definedNames>
    <definedName name="_xlnm.Print_Area" localSheetId="0">'Basic model'!$A$4:$N$63</definedName>
  </definedNames>
  <calcPr calcId="171026" calcCompleted="0"/>
</workbook>
</file>

<file path=xl/calcChain.xml><?xml version="1.0" encoding="utf-8"?>
<calcChain xmlns="http://schemas.openxmlformats.org/spreadsheetml/2006/main">
  <c r="G2" i="2" l="1"/>
  <c r="G7" i="2"/>
  <c r="F8" i="2"/>
  <c r="G112" i="2"/>
  <c r="G113" i="2"/>
  <c r="G114" i="2"/>
  <c r="G115" i="2"/>
  <c r="G116" i="2"/>
  <c r="G117" i="2"/>
  <c r="G118" i="2"/>
  <c r="G105" i="2"/>
  <c r="G106" i="2"/>
  <c r="G107" i="2"/>
  <c r="G108" i="2"/>
  <c r="G109" i="2"/>
  <c r="G110" i="2"/>
  <c r="G111" i="2"/>
  <c r="G98" i="2"/>
  <c r="G99" i="2"/>
  <c r="G100" i="2"/>
  <c r="G101" i="2"/>
  <c r="G102" i="2"/>
  <c r="G103" i="2"/>
  <c r="G104" i="2"/>
  <c r="G91" i="2"/>
  <c r="G92" i="2"/>
  <c r="G93" i="2"/>
  <c r="G94" i="2"/>
  <c r="G95" i="2"/>
  <c r="G96" i="2"/>
  <c r="G97" i="2"/>
  <c r="G84" i="2"/>
  <c r="G85" i="2"/>
  <c r="G86" i="2"/>
  <c r="G87" i="2"/>
  <c r="G88" i="2"/>
  <c r="G89" i="2"/>
  <c r="G90" i="2"/>
  <c r="G77" i="2"/>
  <c r="G78" i="2"/>
  <c r="G79" i="2"/>
  <c r="G80" i="2"/>
  <c r="G81" i="2"/>
  <c r="G82" i="2"/>
  <c r="G83" i="2"/>
  <c r="G70" i="2"/>
  <c r="G71" i="2"/>
  <c r="G72" i="2"/>
  <c r="G73" i="2"/>
  <c r="G74" i="2"/>
  <c r="G75" i="2"/>
  <c r="G76" i="2"/>
  <c r="G63" i="2"/>
  <c r="G64" i="2"/>
  <c r="G65" i="2"/>
  <c r="G66" i="2"/>
  <c r="G67" i="2"/>
  <c r="G68" i="2"/>
  <c r="G69" i="2"/>
  <c r="G56" i="2"/>
  <c r="G57" i="2"/>
  <c r="G58" i="2"/>
  <c r="G59" i="2"/>
  <c r="G60" i="2"/>
  <c r="G61" i="2"/>
  <c r="G62" i="2"/>
  <c r="G49" i="2"/>
  <c r="G50" i="2"/>
  <c r="G51" i="2"/>
  <c r="G52" i="2"/>
  <c r="G53" i="2"/>
  <c r="G54" i="2"/>
  <c r="G55" i="2"/>
  <c r="G42" i="2"/>
  <c r="G43" i="2"/>
  <c r="G44" i="2"/>
  <c r="G45" i="2"/>
  <c r="G46" i="2"/>
  <c r="G47" i="2"/>
  <c r="G48" i="2"/>
  <c r="G35" i="2"/>
  <c r="G36" i="2"/>
  <c r="G37" i="2"/>
  <c r="G38" i="2"/>
  <c r="G39" i="2"/>
  <c r="G40" i="2"/>
  <c r="G41" i="2"/>
  <c r="G28" i="2"/>
  <c r="G29" i="2"/>
  <c r="G30" i="2"/>
  <c r="G31" i="2"/>
  <c r="G32" i="2"/>
  <c r="G33" i="2"/>
  <c r="G34" i="2"/>
  <c r="G21" i="2"/>
  <c r="G22" i="2"/>
  <c r="G23" i="2"/>
  <c r="G24" i="2"/>
  <c r="G25" i="2"/>
  <c r="G26" i="2"/>
  <c r="G27" i="2"/>
  <c r="G14" i="2"/>
  <c r="G15" i="2"/>
  <c r="G16" i="2"/>
  <c r="G17" i="2"/>
  <c r="G18" i="2"/>
  <c r="G19" i="2"/>
  <c r="G20" i="2"/>
  <c r="I14" i="2"/>
  <c r="I117" i="2"/>
  <c r="H117" i="2"/>
  <c r="D117" i="2"/>
  <c r="I116" i="2"/>
  <c r="H116" i="2"/>
  <c r="D116" i="2"/>
  <c r="I115" i="2"/>
  <c r="H115" i="2"/>
  <c r="D115" i="2"/>
  <c r="I114" i="2"/>
  <c r="H114" i="2"/>
  <c r="D114" i="2"/>
  <c r="I113" i="2"/>
  <c r="H113" i="2"/>
  <c r="D113" i="2"/>
  <c r="I112" i="2"/>
  <c r="H112" i="2"/>
  <c r="D112" i="2"/>
  <c r="I111" i="2"/>
  <c r="H111" i="2"/>
  <c r="D111" i="2"/>
  <c r="I110" i="2"/>
  <c r="H110" i="2"/>
  <c r="D110" i="2"/>
  <c r="I109" i="2"/>
  <c r="H109" i="2"/>
  <c r="D109" i="2"/>
  <c r="I108" i="2"/>
  <c r="H108" i="2"/>
  <c r="D108" i="2"/>
  <c r="I107" i="2"/>
  <c r="H107" i="2"/>
  <c r="D107" i="2"/>
  <c r="I106" i="2"/>
  <c r="H106" i="2"/>
  <c r="D106" i="2"/>
  <c r="I105" i="2"/>
  <c r="H105" i="2"/>
  <c r="D105" i="2"/>
  <c r="I104" i="2"/>
  <c r="H104" i="2"/>
  <c r="D104" i="2"/>
  <c r="I103" i="2"/>
  <c r="H103" i="2"/>
  <c r="D103" i="2"/>
  <c r="I102" i="2"/>
  <c r="H102" i="2"/>
  <c r="D102" i="2"/>
  <c r="I101" i="2"/>
  <c r="H101" i="2"/>
  <c r="D101" i="2"/>
  <c r="I100" i="2"/>
  <c r="H100" i="2"/>
  <c r="D100" i="2"/>
  <c r="I99" i="2"/>
  <c r="H99" i="2"/>
  <c r="D99" i="2"/>
  <c r="I98" i="2"/>
  <c r="H98" i="2"/>
  <c r="D98" i="2"/>
  <c r="I97" i="2"/>
  <c r="H97" i="2"/>
  <c r="D97" i="2"/>
  <c r="I96" i="2"/>
  <c r="H96" i="2"/>
  <c r="D96" i="2"/>
  <c r="I95" i="2"/>
  <c r="H95" i="2"/>
  <c r="D95" i="2"/>
  <c r="I94" i="2"/>
  <c r="H94" i="2"/>
  <c r="D94" i="2"/>
  <c r="I93" i="2"/>
  <c r="H93" i="2"/>
  <c r="D93" i="2"/>
  <c r="I92" i="2"/>
  <c r="H92" i="2"/>
  <c r="D92" i="2"/>
  <c r="I91" i="2"/>
  <c r="H91" i="2"/>
  <c r="D91" i="2"/>
  <c r="I90" i="2"/>
  <c r="H90" i="2"/>
  <c r="D90" i="2"/>
  <c r="I89" i="2"/>
  <c r="H89" i="2"/>
  <c r="D89" i="2"/>
  <c r="I88" i="2"/>
  <c r="H88" i="2"/>
  <c r="D88" i="2"/>
  <c r="I87" i="2"/>
  <c r="H87" i="2"/>
  <c r="D87" i="2"/>
  <c r="I86" i="2"/>
  <c r="H86" i="2"/>
  <c r="D86" i="2"/>
  <c r="I85" i="2"/>
  <c r="H85" i="2"/>
  <c r="D85" i="2"/>
  <c r="I84" i="2"/>
  <c r="H84" i="2"/>
  <c r="D84" i="2"/>
  <c r="I83" i="2"/>
  <c r="H83" i="2"/>
  <c r="D83" i="2"/>
  <c r="I82" i="2"/>
  <c r="H82" i="2"/>
  <c r="D82" i="2"/>
  <c r="I81" i="2"/>
  <c r="H81" i="2"/>
  <c r="D81" i="2"/>
  <c r="I80" i="2"/>
  <c r="H80" i="2"/>
  <c r="D80" i="2"/>
  <c r="I79" i="2"/>
  <c r="H79" i="2"/>
  <c r="D79" i="2"/>
  <c r="I78" i="2"/>
  <c r="H78" i="2"/>
  <c r="D78" i="2"/>
  <c r="I77" i="2"/>
  <c r="H77" i="2"/>
  <c r="D77" i="2"/>
  <c r="I76" i="2"/>
  <c r="H76" i="2"/>
  <c r="D76" i="2"/>
  <c r="I75" i="2"/>
  <c r="H75" i="2"/>
  <c r="D75" i="2"/>
  <c r="I74" i="2"/>
  <c r="H74" i="2"/>
  <c r="D74" i="2"/>
  <c r="I73" i="2"/>
  <c r="H73" i="2"/>
  <c r="D73" i="2"/>
  <c r="I72" i="2"/>
  <c r="H72" i="2"/>
  <c r="D72" i="2"/>
  <c r="I71" i="2"/>
  <c r="H71" i="2"/>
  <c r="D71" i="2"/>
  <c r="I70" i="2"/>
  <c r="H70" i="2"/>
  <c r="D70" i="2"/>
  <c r="I69" i="2"/>
  <c r="H69" i="2"/>
  <c r="D69" i="2"/>
  <c r="I68" i="2"/>
  <c r="H68" i="2"/>
  <c r="D68" i="2"/>
  <c r="I67" i="2"/>
  <c r="H67" i="2"/>
  <c r="D67" i="2"/>
  <c r="I66" i="2"/>
  <c r="H66" i="2"/>
  <c r="D66" i="2"/>
  <c r="I65" i="2"/>
  <c r="H65" i="2"/>
  <c r="D65" i="2"/>
  <c r="I64" i="2"/>
  <c r="H64" i="2"/>
  <c r="D64" i="2"/>
  <c r="I63" i="2"/>
  <c r="H63" i="2"/>
  <c r="D63" i="2"/>
  <c r="I62" i="2"/>
  <c r="H62" i="2"/>
  <c r="D62" i="2"/>
  <c r="I61" i="2"/>
  <c r="H61" i="2"/>
  <c r="D61" i="2"/>
  <c r="I60" i="2"/>
  <c r="H60" i="2"/>
  <c r="D60" i="2"/>
  <c r="I59" i="2"/>
  <c r="H59" i="2"/>
  <c r="D59" i="2"/>
  <c r="I58" i="2"/>
  <c r="H58" i="2"/>
  <c r="D58" i="2"/>
  <c r="I57" i="2"/>
  <c r="H57" i="2"/>
  <c r="D57" i="2"/>
  <c r="I56" i="2"/>
  <c r="H56" i="2"/>
  <c r="D56" i="2"/>
  <c r="I55" i="2"/>
  <c r="H55" i="2"/>
  <c r="D55" i="2"/>
  <c r="I54" i="2"/>
  <c r="H54" i="2"/>
  <c r="D54" i="2"/>
  <c r="I53" i="2"/>
  <c r="H53" i="2"/>
  <c r="D53" i="2"/>
  <c r="I52" i="2"/>
  <c r="H52" i="2"/>
  <c r="D52" i="2"/>
  <c r="I51" i="2"/>
  <c r="H51" i="2"/>
  <c r="D51" i="2"/>
  <c r="I50" i="2"/>
  <c r="H50" i="2"/>
  <c r="D50" i="2"/>
  <c r="I49" i="2"/>
  <c r="H49" i="2"/>
  <c r="D49" i="2"/>
  <c r="I48" i="2"/>
  <c r="H48" i="2"/>
  <c r="D48" i="2"/>
  <c r="I47" i="2"/>
  <c r="H47" i="2"/>
  <c r="D47" i="2"/>
  <c r="I46" i="2"/>
  <c r="H46" i="2"/>
  <c r="D46" i="2"/>
  <c r="I45" i="2"/>
  <c r="H45" i="2"/>
  <c r="D45" i="2"/>
  <c r="I44" i="2"/>
  <c r="H44" i="2"/>
  <c r="D44" i="2"/>
  <c r="I43" i="2"/>
  <c r="H43" i="2"/>
  <c r="D43" i="2"/>
  <c r="I42" i="2"/>
  <c r="H42" i="2"/>
  <c r="D42" i="2"/>
  <c r="I41" i="2"/>
  <c r="H41" i="2"/>
  <c r="D41" i="2"/>
  <c r="I40" i="2"/>
  <c r="H40" i="2"/>
  <c r="D40" i="2"/>
  <c r="I39" i="2"/>
  <c r="H39" i="2"/>
  <c r="D39" i="2"/>
  <c r="I38" i="2"/>
  <c r="H38" i="2"/>
  <c r="D38" i="2"/>
  <c r="I37" i="2"/>
  <c r="H37" i="2"/>
  <c r="D37" i="2"/>
  <c r="I36" i="2"/>
  <c r="H36" i="2"/>
  <c r="D36" i="2"/>
  <c r="I35" i="2"/>
  <c r="H35" i="2"/>
  <c r="D35" i="2"/>
  <c r="I34" i="2"/>
  <c r="H34" i="2"/>
  <c r="D34" i="2"/>
  <c r="I33" i="2"/>
  <c r="H33" i="2"/>
  <c r="D33" i="2"/>
  <c r="I32" i="2"/>
  <c r="H32" i="2"/>
  <c r="D32" i="2"/>
  <c r="I31" i="2"/>
  <c r="H31" i="2"/>
  <c r="D31" i="2"/>
  <c r="I30" i="2"/>
  <c r="H30" i="2"/>
  <c r="D30" i="2"/>
  <c r="I29" i="2"/>
  <c r="H29" i="2"/>
  <c r="D29" i="2"/>
  <c r="I28" i="2"/>
  <c r="H28" i="2"/>
  <c r="D28" i="2"/>
  <c r="I27" i="2"/>
  <c r="H27" i="2"/>
  <c r="D27" i="2"/>
  <c r="I26" i="2"/>
  <c r="H26" i="2"/>
  <c r="D26" i="2"/>
  <c r="I25" i="2"/>
  <c r="H25" i="2"/>
  <c r="D25" i="2"/>
  <c r="I24" i="2"/>
  <c r="H24" i="2"/>
  <c r="D24" i="2"/>
  <c r="I23" i="2"/>
  <c r="H23" i="2"/>
  <c r="D23" i="2"/>
  <c r="I22" i="2"/>
  <c r="H22" i="2"/>
  <c r="D22" i="2"/>
  <c r="I21" i="2"/>
  <c r="H21" i="2"/>
  <c r="D21" i="2"/>
  <c r="I20" i="2"/>
  <c r="H20" i="2"/>
  <c r="D20" i="2"/>
  <c r="I19" i="2"/>
  <c r="H19" i="2"/>
  <c r="D19" i="2"/>
  <c r="I18" i="2"/>
  <c r="H18" i="2"/>
  <c r="D18" i="2"/>
  <c r="I17" i="2"/>
  <c r="H17" i="2"/>
  <c r="D17" i="2"/>
  <c r="I16" i="2"/>
  <c r="H16" i="2"/>
  <c r="D16" i="2"/>
  <c r="I15" i="2"/>
  <c r="H15" i="2"/>
  <c r="D15" i="2"/>
  <c r="H14" i="2"/>
  <c r="D14" i="2"/>
  <c r="I13" i="2"/>
  <c r="H13" i="2"/>
  <c r="D13" i="2"/>
  <c r="I12" i="2"/>
  <c r="H12" i="2"/>
  <c r="D12" i="2"/>
  <c r="I11" i="2"/>
  <c r="H11" i="2"/>
  <c r="D11" i="2"/>
  <c r="I10" i="2"/>
  <c r="H10" i="2"/>
  <c r="D10" i="2"/>
  <c r="I9" i="2"/>
  <c r="H9" i="2"/>
  <c r="D9" i="2"/>
  <c r="I8" i="2"/>
  <c r="H8" i="2"/>
  <c r="D8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I7" i="2"/>
  <c r="H7" i="2"/>
  <c r="D7" i="2"/>
  <c r="E8" i="2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I7" i="1"/>
  <c r="H7" i="1"/>
  <c r="G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7" i="1"/>
  <c r="E8" i="1"/>
  <c r="G8" i="2"/>
  <c r="G9" i="2"/>
  <c r="G10" i="2"/>
  <c r="G11" i="2"/>
  <c r="G12" i="2"/>
  <c r="G13" i="2"/>
  <c r="E9" i="2"/>
  <c r="G8" i="1"/>
  <c r="G9" i="1"/>
  <c r="F8" i="1"/>
  <c r="E9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F9" i="2"/>
  <c r="E10" i="2"/>
  <c r="F10" i="2"/>
  <c r="F9" i="1"/>
  <c r="E10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F11" i="2"/>
  <c r="E11" i="2"/>
  <c r="F11" i="1"/>
  <c r="F10" i="1"/>
  <c r="E11" i="1"/>
  <c r="E12" i="2"/>
  <c r="F12" i="2"/>
  <c r="E12" i="1"/>
  <c r="F12" i="1"/>
  <c r="F13" i="2"/>
  <c r="E13" i="2"/>
  <c r="E13" i="1"/>
  <c r="F14" i="1"/>
  <c r="F13" i="1"/>
  <c r="E14" i="2"/>
  <c r="F14" i="2"/>
  <c r="E14" i="1"/>
  <c r="E15" i="1"/>
  <c r="F16" i="1"/>
  <c r="F15" i="2"/>
  <c r="E15" i="2"/>
  <c r="F15" i="1"/>
  <c r="E16" i="1"/>
  <c r="F17" i="1"/>
  <c r="E16" i="2"/>
  <c r="F16" i="2"/>
  <c r="E17" i="1"/>
  <c r="F18" i="1"/>
  <c r="F17" i="2"/>
  <c r="E17" i="2"/>
  <c r="E18" i="1"/>
  <c r="F19" i="1"/>
  <c r="E18" i="2"/>
  <c r="F18" i="2"/>
  <c r="E19" i="1"/>
  <c r="F20" i="1"/>
  <c r="E20" i="1"/>
  <c r="F19" i="2"/>
  <c r="E19" i="2"/>
  <c r="E21" i="1"/>
  <c r="F21" i="1"/>
  <c r="E20" i="2"/>
  <c r="F20" i="2"/>
  <c r="E22" i="1"/>
  <c r="F22" i="1"/>
  <c r="F21" i="2"/>
  <c r="E21" i="2"/>
  <c r="E23" i="1"/>
  <c r="F23" i="1"/>
  <c r="E22" i="2"/>
  <c r="F22" i="2"/>
  <c r="E24" i="1"/>
  <c r="F24" i="1"/>
  <c r="F23" i="2"/>
  <c r="E23" i="2"/>
  <c r="E25" i="1"/>
  <c r="F25" i="1"/>
  <c r="E24" i="2"/>
  <c r="F24" i="2"/>
  <c r="E26" i="1"/>
  <c r="F26" i="1"/>
  <c r="F25" i="2"/>
  <c r="E25" i="2"/>
  <c r="E27" i="1"/>
  <c r="F27" i="1"/>
  <c r="E26" i="2"/>
  <c r="F26" i="2"/>
  <c r="E28" i="1"/>
  <c r="F28" i="1"/>
  <c r="F27" i="2"/>
  <c r="E27" i="2"/>
  <c r="E29" i="1"/>
  <c r="F29" i="1"/>
  <c r="E28" i="2"/>
  <c r="F28" i="2"/>
  <c r="E30" i="1"/>
  <c r="F30" i="1"/>
  <c r="F29" i="2"/>
  <c r="E29" i="2"/>
  <c r="E31" i="1"/>
  <c r="F31" i="1"/>
  <c r="E30" i="2"/>
  <c r="F30" i="2"/>
  <c r="E32" i="1"/>
  <c r="F32" i="1"/>
  <c r="F31" i="2"/>
  <c r="E31" i="2"/>
  <c r="E33" i="1"/>
  <c r="F33" i="1"/>
  <c r="E34" i="1"/>
  <c r="E32" i="2"/>
  <c r="F32" i="2"/>
  <c r="F34" i="1"/>
  <c r="E35" i="1"/>
  <c r="F33" i="2"/>
  <c r="E33" i="2"/>
  <c r="F35" i="1"/>
  <c r="E36" i="1"/>
  <c r="F34" i="2"/>
  <c r="E34" i="2"/>
  <c r="F36" i="1"/>
  <c r="E37" i="1"/>
  <c r="F35" i="2"/>
  <c r="E35" i="2"/>
  <c r="F37" i="1"/>
  <c r="E38" i="1"/>
  <c r="E36" i="2"/>
  <c r="F36" i="2"/>
  <c r="F38" i="1"/>
  <c r="E39" i="1"/>
  <c r="F37" i="2"/>
  <c r="E37" i="2"/>
  <c r="F39" i="1"/>
  <c r="E40" i="1"/>
  <c r="E38" i="2"/>
  <c r="F38" i="2"/>
  <c r="F40" i="1"/>
  <c r="E41" i="1"/>
  <c r="F39" i="2"/>
  <c r="E39" i="2"/>
  <c r="F41" i="1"/>
  <c r="E42" i="1"/>
  <c r="E40" i="2"/>
  <c r="F40" i="2"/>
  <c r="F42" i="1"/>
  <c r="E43" i="1"/>
  <c r="F41" i="2"/>
  <c r="E41" i="2"/>
  <c r="F43" i="1"/>
  <c r="E44" i="1"/>
  <c r="E42" i="2"/>
  <c r="F42" i="2"/>
  <c r="F44" i="1"/>
  <c r="E45" i="1"/>
  <c r="F43" i="2"/>
  <c r="E43" i="2"/>
  <c r="F45" i="1"/>
  <c r="E46" i="1"/>
  <c r="E44" i="2"/>
  <c r="F44" i="2"/>
  <c r="F46" i="1"/>
  <c r="E47" i="1"/>
  <c r="F45" i="2"/>
  <c r="E45" i="2"/>
  <c r="F47" i="1"/>
  <c r="E48" i="1"/>
  <c r="E46" i="2"/>
  <c r="F46" i="2"/>
  <c r="F48" i="1"/>
  <c r="E49" i="1"/>
  <c r="F47" i="2"/>
  <c r="E47" i="2"/>
  <c r="F49" i="1"/>
  <c r="E50" i="1"/>
  <c r="E48" i="2"/>
  <c r="F48" i="2"/>
  <c r="F50" i="1"/>
  <c r="E51" i="1"/>
  <c r="F49" i="2"/>
  <c r="E49" i="2"/>
  <c r="F51" i="1"/>
  <c r="E52" i="1"/>
  <c r="E50" i="2"/>
  <c r="F50" i="2"/>
  <c r="F52" i="1"/>
  <c r="E53" i="1"/>
  <c r="E51" i="2"/>
  <c r="F51" i="2"/>
  <c r="F53" i="1"/>
  <c r="E54" i="1"/>
  <c r="E52" i="2"/>
  <c r="F52" i="2"/>
  <c r="F54" i="1"/>
  <c r="E55" i="1"/>
  <c r="F53" i="2"/>
  <c r="E53" i="2"/>
  <c r="F55" i="1"/>
  <c r="E56" i="1"/>
  <c r="E54" i="2"/>
  <c r="F54" i="2"/>
  <c r="F56" i="1"/>
  <c r="E57" i="1"/>
  <c r="E55" i="2"/>
  <c r="F55" i="2"/>
  <c r="F57" i="1"/>
  <c r="E58" i="1"/>
  <c r="E56" i="2"/>
  <c r="F56" i="2"/>
  <c r="F58" i="1"/>
  <c r="E59" i="1"/>
  <c r="F57" i="2"/>
  <c r="E57" i="2"/>
  <c r="F59" i="1"/>
  <c r="E60" i="1"/>
  <c r="E58" i="2"/>
  <c r="F58" i="2"/>
  <c r="F60" i="1"/>
  <c r="E61" i="1"/>
  <c r="F59" i="2"/>
  <c r="E59" i="2"/>
  <c r="F61" i="1"/>
  <c r="E62" i="1"/>
  <c r="E60" i="2"/>
  <c r="F60" i="2"/>
  <c r="F62" i="1"/>
  <c r="E63" i="1"/>
  <c r="F61" i="2"/>
  <c r="E61" i="2"/>
  <c r="F63" i="1"/>
  <c r="E64" i="1"/>
  <c r="F62" i="2"/>
  <c r="E62" i="2"/>
  <c r="F64" i="1"/>
  <c r="E65" i="1"/>
  <c r="E63" i="2"/>
  <c r="F63" i="2"/>
  <c r="F65" i="1"/>
  <c r="E66" i="1"/>
  <c r="E64" i="2"/>
  <c r="F64" i="2"/>
  <c r="F66" i="1"/>
  <c r="E67" i="1"/>
  <c r="F65" i="2"/>
  <c r="E65" i="2"/>
  <c r="F67" i="1"/>
  <c r="E68" i="1"/>
  <c r="F66" i="2"/>
  <c r="E66" i="2"/>
  <c r="F68" i="1"/>
  <c r="E69" i="1"/>
  <c r="F67" i="2"/>
  <c r="E67" i="2"/>
  <c r="F69" i="1"/>
  <c r="E70" i="1"/>
  <c r="E68" i="2"/>
  <c r="F68" i="2"/>
  <c r="F70" i="1"/>
  <c r="E71" i="1"/>
  <c r="F69" i="2"/>
  <c r="E69" i="2"/>
  <c r="F71" i="1"/>
  <c r="E72" i="1"/>
  <c r="E70" i="2"/>
  <c r="F70" i="2"/>
  <c r="F72" i="1"/>
  <c r="E73" i="1"/>
  <c r="E71" i="2"/>
  <c r="F71" i="2"/>
  <c r="F73" i="1"/>
  <c r="E74" i="1"/>
  <c r="E72" i="2"/>
  <c r="F72" i="2"/>
  <c r="F74" i="1"/>
  <c r="E75" i="1"/>
  <c r="F73" i="2"/>
  <c r="E73" i="2"/>
  <c r="F75" i="1"/>
  <c r="E76" i="1"/>
  <c r="F74" i="2"/>
  <c r="E74" i="2"/>
  <c r="F76" i="1"/>
  <c r="E77" i="1"/>
  <c r="E75" i="2"/>
  <c r="F75" i="2"/>
  <c r="F77" i="1"/>
  <c r="E78" i="1"/>
  <c r="E76" i="2"/>
  <c r="F76" i="2"/>
  <c r="F78" i="1"/>
  <c r="E79" i="1"/>
  <c r="F77" i="2"/>
  <c r="E77" i="2"/>
  <c r="F79" i="1"/>
  <c r="E80" i="1"/>
  <c r="E78" i="2"/>
  <c r="F78" i="2"/>
  <c r="F80" i="1"/>
  <c r="E81" i="1"/>
  <c r="F79" i="2"/>
  <c r="E79" i="2"/>
  <c r="F81" i="1"/>
  <c r="E82" i="1"/>
  <c r="E80" i="2"/>
  <c r="F80" i="2"/>
  <c r="F82" i="1"/>
  <c r="E83" i="1"/>
  <c r="F81" i="2"/>
  <c r="E81" i="2"/>
  <c r="F83" i="1"/>
  <c r="E84" i="1"/>
  <c r="E82" i="2"/>
  <c r="F82" i="2"/>
  <c r="F84" i="1"/>
  <c r="E85" i="1"/>
  <c r="E83" i="2"/>
  <c r="F83" i="2"/>
  <c r="F85" i="1"/>
  <c r="E86" i="1"/>
  <c r="E84" i="2"/>
  <c r="F84" i="2"/>
  <c r="F86" i="1"/>
  <c r="E87" i="1"/>
  <c r="F85" i="2"/>
  <c r="E85" i="2"/>
  <c r="F87" i="1"/>
  <c r="E88" i="1"/>
  <c r="E86" i="2"/>
  <c r="F86" i="2"/>
  <c r="F88" i="1"/>
  <c r="E89" i="1"/>
  <c r="F87" i="2"/>
  <c r="E87" i="2"/>
  <c r="F89" i="1"/>
  <c r="E90" i="1"/>
  <c r="E88" i="2"/>
  <c r="F88" i="2"/>
  <c r="F90" i="1"/>
  <c r="E91" i="1"/>
  <c r="F89" i="2"/>
  <c r="E89" i="2"/>
  <c r="F91" i="1"/>
  <c r="E92" i="1"/>
  <c r="E90" i="2"/>
  <c r="F90" i="2"/>
  <c r="F92" i="1"/>
  <c r="E93" i="1"/>
  <c r="F91" i="2"/>
  <c r="E91" i="2"/>
  <c r="F93" i="1"/>
  <c r="E94" i="1"/>
  <c r="E92" i="2"/>
  <c r="F92" i="2"/>
  <c r="F94" i="1"/>
  <c r="E95" i="1"/>
  <c r="F93" i="2"/>
  <c r="E93" i="2"/>
  <c r="F95" i="1"/>
  <c r="E96" i="1"/>
  <c r="E94" i="2"/>
  <c r="F94" i="2"/>
  <c r="F96" i="1"/>
  <c r="E97" i="1"/>
  <c r="F95" i="2"/>
  <c r="E95" i="2"/>
  <c r="F97" i="1"/>
  <c r="E98" i="1"/>
  <c r="E96" i="2"/>
  <c r="F96" i="2"/>
  <c r="F98" i="1"/>
  <c r="E99" i="1"/>
  <c r="F97" i="2"/>
  <c r="E97" i="2"/>
  <c r="F99" i="1"/>
  <c r="E100" i="1"/>
  <c r="E98" i="2"/>
  <c r="F98" i="2"/>
  <c r="F100" i="1"/>
  <c r="E101" i="1"/>
  <c r="E99" i="2"/>
  <c r="F99" i="2"/>
  <c r="F101" i="1"/>
  <c r="E102" i="1"/>
  <c r="E100" i="2"/>
  <c r="F100" i="2"/>
  <c r="F102" i="1"/>
  <c r="E103" i="1"/>
  <c r="F101" i="2"/>
  <c r="E101" i="2"/>
  <c r="F103" i="1"/>
  <c r="E104" i="1"/>
  <c r="E102" i="2"/>
  <c r="F102" i="2"/>
  <c r="F104" i="1"/>
  <c r="E105" i="1"/>
  <c r="E103" i="2"/>
  <c r="F103" i="2"/>
  <c r="F105" i="1"/>
  <c r="E106" i="1"/>
  <c r="E104" i="2"/>
  <c r="F104" i="2"/>
  <c r="F106" i="1"/>
  <c r="E107" i="1"/>
  <c r="F105" i="2"/>
  <c r="E105" i="2"/>
  <c r="F107" i="1"/>
  <c r="E108" i="1"/>
  <c r="E106" i="2"/>
  <c r="F106" i="2"/>
  <c r="F108" i="1"/>
  <c r="E109" i="1"/>
  <c r="F107" i="2"/>
  <c r="E107" i="2"/>
  <c r="F109" i="1"/>
  <c r="E110" i="1"/>
  <c r="E108" i="2"/>
  <c r="F108" i="2"/>
  <c r="F110" i="1"/>
  <c r="E111" i="1"/>
  <c r="F109" i="2"/>
  <c r="E109" i="2"/>
  <c r="F111" i="1"/>
  <c r="E112" i="1"/>
  <c r="E110" i="2"/>
  <c r="F110" i="2"/>
  <c r="F112" i="1"/>
  <c r="E113" i="1"/>
  <c r="F111" i="2"/>
  <c r="E111" i="2"/>
  <c r="F113" i="1"/>
  <c r="E114" i="1"/>
  <c r="E112" i="2"/>
  <c r="F112" i="2"/>
  <c r="F114" i="1"/>
  <c r="E115" i="1"/>
  <c r="F113" i="2"/>
  <c r="E113" i="2"/>
  <c r="F115" i="1"/>
  <c r="E116" i="1"/>
  <c r="E114" i="2"/>
  <c r="F114" i="2"/>
  <c r="F116" i="1"/>
  <c r="E117" i="1"/>
  <c r="E115" i="2"/>
  <c r="F115" i="2"/>
  <c r="F117" i="1"/>
  <c r="E116" i="2"/>
  <c r="F116" i="2"/>
  <c r="F117" i="2"/>
  <c r="E117" i="2"/>
</calcChain>
</file>

<file path=xl/sharedStrings.xml><?xml version="1.0" encoding="utf-8"?>
<sst xmlns="http://schemas.openxmlformats.org/spreadsheetml/2006/main" count="66" uniqueCount="15">
  <si>
    <t>bloodvolume:</t>
  </si>
  <si>
    <t>min</t>
  </si>
  <si>
    <t>pillsize</t>
  </si>
  <si>
    <t>max</t>
  </si>
  <si>
    <t>decay factor</t>
  </si>
  <si>
    <t>pill</t>
  </si>
  <si>
    <t>loss</t>
  </si>
  <si>
    <t>t</t>
  </si>
  <si>
    <r>
      <t>D</t>
    </r>
    <r>
      <rPr>
        <b/>
        <i/>
        <sz val="10"/>
        <rFont val="Arial"/>
      </rPr>
      <t>t</t>
    </r>
  </si>
  <si>
    <t>taken</t>
  </si>
  <si>
    <t>gain</t>
  </si>
  <si>
    <t>mg/l</t>
  </si>
  <si>
    <t>factor</t>
  </si>
  <si>
    <t xml:space="preserve"> </t>
  </si>
  <si>
    <t>basic decay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</si>
</sst>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i/>
      <sz val="10"/>
      <name val="Arial"/>
    </font>
    <font>
      <sz val="10"/>
      <name val="Arial"/>
      <family val="2"/>
    </font>
    <font>
      <b/>
      <sz val="10"/>
      <name val="Arial"/>
    </font>
    <font>
      <b/>
      <sz val="9"/>
      <name val="Arial"/>
      <family val="2"/>
    </font>
    <font>
      <b/>
      <i/>
      <sz val="10"/>
      <name val="Arial"/>
      <family val="2"/>
    </font>
    <font>
      <b/>
      <sz val="10"/>
      <name val="Symbol"/>
      <family val="1"/>
      <charset val="2"/>
    </font>
    <font>
      <b/>
      <i/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2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1" fontId="0" fillId="0" borderId="0" xfId="0" applyNumberFormat="1"/>
    <xf numFmtId="0" fontId="2" fillId="0" borderId="0" xfId="0" applyFont="1"/>
    <xf numFmtId="2" fontId="2" fillId="0" borderId="0" xfId="0" applyNumberFormat="1" applyFont="1" applyAlignment="1">
      <alignment horizontal="right"/>
    </xf>
    <xf numFmtId="0" fontId="0" fillId="0" borderId="1" xfId="0" applyBorder="1"/>
    <xf numFmtId="2" fontId="0" fillId="0" borderId="1" xfId="0" applyNumberFormat="1" applyBorder="1"/>
    <xf numFmtId="2" fontId="2" fillId="0" borderId="1" xfId="0" applyNumberFormat="1" applyFont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/>
    <xf numFmtId="0" fontId="8" fillId="2" borderId="0" xfId="0" applyFont="1" applyFill="1"/>
    <xf numFmtId="0" fontId="0" fillId="2" borderId="0" xfId="0" applyFill="1"/>
    <xf numFmtId="0" fontId="8" fillId="2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2" fontId="0" fillId="3" borderId="0" xfId="0" applyNumberFormat="1" applyFill="1"/>
    <xf numFmtId="0" fontId="0" fillId="0" borderId="0" xfId="0" applyFill="1"/>
    <xf numFmtId="1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07958806033772"/>
          <c:y val="8.6805849900478474E-2"/>
          <c:w val="0.85714451796665359"/>
          <c:h val="0.770835947116248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'Basic model'!$E$7:$E$117</c:f>
              <c:numCache>
                <c:formatCode>0.00</c:formatCode>
                <c:ptCount val="111"/>
                <c:pt idx="0">
                  <c:v>100</c:v>
                </c:pt>
                <c:pt idx="1">
                  <c:v>100</c:v>
                </c:pt>
                <c:pt idx="2">
                  <c:v>88</c:v>
                </c:pt>
                <c:pt idx="3">
                  <c:v>76</c:v>
                </c:pt>
                <c:pt idx="4">
                  <c:v>65.44</c:v>
                </c:pt>
                <c:pt idx="5">
                  <c:v>56.32</c:v>
                </c:pt>
                <c:pt idx="6">
                  <c:v>48.467199999999998</c:v>
                </c:pt>
                <c:pt idx="7">
                  <c:v>101.7088</c:v>
                </c:pt>
                <c:pt idx="8">
                  <c:v>95.892735999999999</c:v>
                </c:pt>
                <c:pt idx="9">
                  <c:v>83.68768</c:v>
                </c:pt>
                <c:pt idx="10">
                  <c:v>72.180551680000008</c:v>
                </c:pt>
                <c:pt idx="11">
                  <c:v>62.138030080000007</c:v>
                </c:pt>
                <c:pt idx="12">
                  <c:v>53.476363878400008</c:v>
                </c:pt>
                <c:pt idx="13">
                  <c:v>46.019800268800005</c:v>
                </c:pt>
                <c:pt idx="14">
                  <c:v>99.602636603392</c:v>
                </c:pt>
                <c:pt idx="15">
                  <c:v>94.080260571135994</c:v>
                </c:pt>
                <c:pt idx="16">
                  <c:v>82.127944178728953</c:v>
                </c:pt>
                <c:pt idx="17">
                  <c:v>70.838312910192627</c:v>
                </c:pt>
                <c:pt idx="18">
                  <c:v>60.982959608745155</c:v>
                </c:pt>
                <c:pt idx="19">
                  <c:v>52.482362059522039</c:v>
                </c:pt>
                <c:pt idx="20">
                  <c:v>45.164406906472621</c:v>
                </c:pt>
                <c:pt idx="21">
                  <c:v>98.866523459329983</c:v>
                </c:pt>
                <c:pt idx="22">
                  <c:v>93.446794630553271</c:v>
                </c:pt>
                <c:pt idx="23">
                  <c:v>81.582811815433672</c:v>
                </c:pt>
                <c:pt idx="24">
                  <c:v>70.369196459767281</c:v>
                </c:pt>
                <c:pt idx="25">
                  <c:v>60.579259041915236</c:v>
                </c:pt>
                <c:pt idx="26">
                  <c:v>52.134955466743165</c:v>
                </c:pt>
                <c:pt idx="27">
                  <c:v>44.865444381713338</c:v>
                </c:pt>
                <c:pt idx="28">
                  <c:v>38.60924972570416</c:v>
                </c:pt>
                <c:pt idx="29">
                  <c:v>33.225396399898557</c:v>
                </c:pt>
                <c:pt idx="30">
                  <c:v>28.592286432814056</c:v>
                </c:pt>
                <c:pt idx="31">
                  <c:v>84.605238864826219</c:v>
                </c:pt>
                <c:pt idx="32">
                  <c:v>81.174164492888536</c:v>
                </c:pt>
                <c:pt idx="33">
                  <c:v>71.021535829109396</c:v>
                </c:pt>
                <c:pt idx="34">
                  <c:v>61.280636089962769</c:v>
                </c:pt>
                <c:pt idx="35">
                  <c:v>52.758051790469644</c:v>
                </c:pt>
                <c:pt idx="36">
                  <c:v>45.404375459674114</c:v>
                </c:pt>
                <c:pt idx="37">
                  <c:v>39.073409244817753</c:v>
                </c:pt>
                <c:pt idx="38">
                  <c:v>93.624884189656854</c:v>
                </c:pt>
                <c:pt idx="39">
                  <c:v>88.936075080278727</c:v>
                </c:pt>
                <c:pt idx="40">
                  <c:v>77.701088977519902</c:v>
                </c:pt>
                <c:pt idx="41">
                  <c:v>67.028759967886458</c:v>
                </c:pt>
                <c:pt idx="42">
                  <c:v>57.704629290584066</c:v>
                </c:pt>
                <c:pt idx="43">
                  <c:v>49.661178094437687</c:v>
                </c:pt>
                <c:pt idx="44">
                  <c:v>42.736622579567602</c:v>
                </c:pt>
                <c:pt idx="45">
                  <c:v>96.777281208235081</c:v>
                </c:pt>
                <c:pt idx="46">
                  <c:v>91.648886498686963</c:v>
                </c:pt>
                <c:pt idx="47">
                  <c:v>80.035612753698757</c:v>
                </c:pt>
                <c:pt idx="48">
                  <c:v>69.037746373856322</c:v>
                </c:pt>
                <c:pt idx="49">
                  <c:v>59.433472843412474</c:v>
                </c:pt>
                <c:pt idx="50">
                  <c:v>51.148943278549716</c:v>
                </c:pt>
                <c:pt idx="51">
                  <c:v>44.016926537340218</c:v>
                </c:pt>
                <c:pt idx="52">
                  <c:v>37.879053343914251</c:v>
                </c:pt>
                <c:pt idx="53">
                  <c:v>32.597022159433422</c:v>
                </c:pt>
                <c:pt idx="54">
                  <c:v>28.051535758163713</c:v>
                </c:pt>
                <c:pt idx="55">
                  <c:v>84.139893099031696</c:v>
                </c:pt>
                <c:pt idx="56">
                  <c:v>80.773708808052049</c:v>
                </c:pt>
                <c:pt idx="57">
                  <c:v>70.676921636168245</c:v>
                </c:pt>
                <c:pt idx="58">
                  <c:v>60.984076579201997</c:v>
                </c:pt>
                <c:pt idx="59">
                  <c:v>52.502845982861807</c:v>
                </c:pt>
                <c:pt idx="60">
                  <c:v>45.184756793357565</c:v>
                </c:pt>
                <c:pt idx="61">
                  <c:v>38.884415275414149</c:v>
                </c:pt>
                <c:pt idx="62">
                  <c:v>93.462244460211252</c:v>
                </c:pt>
                <c:pt idx="63">
                  <c:v>88.796114627161558</c:v>
                </c:pt>
                <c:pt idx="64">
                  <c:v>77.580645291936207</c:v>
                </c:pt>
                <c:pt idx="65">
                  <c:v>66.925111536676823</c:v>
                </c:pt>
                <c:pt idx="66">
                  <c:v>57.615434101644482</c:v>
                </c:pt>
                <c:pt idx="67">
                  <c:v>49.584420717243262</c:v>
                </c:pt>
                <c:pt idx="68">
                  <c:v>42.670568625045924</c:v>
                </c:pt>
                <c:pt idx="69">
                  <c:v>96.720438138976732</c:v>
                </c:pt>
                <c:pt idx="70">
                  <c:v>91.599969903971214</c:v>
                </c:pt>
                <c:pt idx="71">
                  <c:v>79.993517327294001</c:v>
                </c:pt>
                <c:pt idx="72">
                  <c:v>69.00152093881745</c:v>
                </c:pt>
                <c:pt idx="73">
                  <c:v>59.402298859542171</c:v>
                </c:pt>
                <c:pt idx="74">
                  <c:v>51.122116346884077</c:v>
                </c:pt>
                <c:pt idx="75">
                  <c:v>43.993840483739014</c:v>
                </c:pt>
                <c:pt idx="76">
                  <c:v>37.859186522112921</c:v>
                </c:pt>
                <c:pt idx="77">
                  <c:v>32.579925664064241</c:v>
                </c:pt>
                <c:pt idx="78">
                  <c:v>28.03682328141069</c:v>
                </c:pt>
                <c:pt idx="79">
                  <c:v>84.12723220172299</c:v>
                </c:pt>
                <c:pt idx="80">
                  <c:v>80.762813407953701</c:v>
                </c:pt>
                <c:pt idx="81">
                  <c:v>70.66754554374694</c:v>
                </c:pt>
                <c:pt idx="82">
                  <c:v>60.976007934792491</c:v>
                </c:pt>
                <c:pt idx="83">
                  <c:v>52.495902469542855</c:v>
                </c:pt>
                <c:pt idx="84">
                  <c:v>45.178781517367753</c:v>
                </c:pt>
                <c:pt idx="85">
                  <c:v>38.879273221022608</c:v>
                </c:pt>
                <c:pt idx="86">
                  <c:v>93.457819438938486</c:v>
                </c:pt>
                <c:pt idx="87">
                  <c:v>88.792306652415775</c:v>
                </c:pt>
                <c:pt idx="88">
                  <c:v>77.577368319743158</c:v>
                </c:pt>
                <c:pt idx="89">
                  <c:v>66.922291521453261</c:v>
                </c:pt>
                <c:pt idx="90">
                  <c:v>57.613007323084084</c:v>
                </c:pt>
                <c:pt idx="91">
                  <c:v>49.582332340509694</c:v>
                </c:pt>
                <c:pt idx="92">
                  <c:v>42.668771461739603</c:v>
                </c:pt>
                <c:pt idx="93">
                  <c:v>96.718891580878449</c:v>
                </c:pt>
                <c:pt idx="94">
                  <c:v>91.598639005469693</c:v>
                </c:pt>
                <c:pt idx="95">
                  <c:v>79.992372015764275</c:v>
                </c:pt>
                <c:pt idx="96">
                  <c:v>69.000535335107912</c:v>
                </c:pt>
                <c:pt idx="97">
                  <c:v>59.401450693216198</c:v>
                </c:pt>
                <c:pt idx="98">
                  <c:v>51.121386453003247</c:v>
                </c:pt>
                <c:pt idx="99">
                  <c:v>43.9932123698173</c:v>
                </c:pt>
                <c:pt idx="100">
                  <c:v>37.858645995456911</c:v>
                </c:pt>
                <c:pt idx="101">
                  <c:v>32.579460511078835</c:v>
                </c:pt>
                <c:pt idx="102">
                  <c:v>28.036422991624008</c:v>
                </c:pt>
                <c:pt idx="103">
                  <c:v>84.126887730294555</c:v>
                </c:pt>
                <c:pt idx="104">
                  <c:v>80.762516971299675</c:v>
                </c:pt>
                <c:pt idx="105">
                  <c:v>70.667290443664328</c:v>
                </c:pt>
                <c:pt idx="106">
                  <c:v>60.975788407108368</c:v>
                </c:pt>
                <c:pt idx="107">
                  <c:v>52.495713553868647</c:v>
                </c:pt>
                <c:pt idx="108">
                  <c:v>45.178618945015643</c:v>
                </c:pt>
                <c:pt idx="109">
                  <c:v>38.879133318551403</c:v>
                </c:pt>
                <c:pt idx="110">
                  <c:v>93.457699045149525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E0-495C-A7B3-F747C447F5EA}"/>
            </c:ext>
          </c:extLst>
        </c:ser>
        <c:ser>
          <c:idx val="1"/>
          <c:order val="1"/>
          <c:tx>
            <c:strRef>
              <c:f>'Basic model'!$H$6</c:f>
              <c:strCache>
                <c:ptCount val="1"/>
                <c:pt idx="0">
                  <c:v>min</c:v>
                </c:pt>
              </c:strCache>
            </c:strRef>
          </c:tx>
          <c:marker>
            <c:symbol val="none"/>
          </c:marker>
          <c:val>
            <c:numRef>
              <c:f>'Basic model'!$H$7:$H$117</c:f>
              <c:numCache>
                <c:formatCode>0</c:formatCode>
                <c:ptCount val="111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  <c:pt idx="64">
                  <c:v>40</c:v>
                </c:pt>
                <c:pt idx="65">
                  <c:v>40</c:v>
                </c:pt>
                <c:pt idx="66">
                  <c:v>40</c:v>
                </c:pt>
                <c:pt idx="67">
                  <c:v>40</c:v>
                </c:pt>
                <c:pt idx="68">
                  <c:v>40</c:v>
                </c:pt>
                <c:pt idx="69">
                  <c:v>40</c:v>
                </c:pt>
                <c:pt idx="70">
                  <c:v>40</c:v>
                </c:pt>
                <c:pt idx="71">
                  <c:v>40</c:v>
                </c:pt>
                <c:pt idx="72">
                  <c:v>40</c:v>
                </c:pt>
                <c:pt idx="73">
                  <c:v>40</c:v>
                </c:pt>
                <c:pt idx="74">
                  <c:v>40</c:v>
                </c:pt>
                <c:pt idx="75">
                  <c:v>40</c:v>
                </c:pt>
                <c:pt idx="76">
                  <c:v>40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40</c:v>
                </c:pt>
                <c:pt idx="87">
                  <c:v>40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40</c:v>
                </c:pt>
                <c:pt idx="95">
                  <c:v>40</c:v>
                </c:pt>
                <c:pt idx="96">
                  <c:v>40</c:v>
                </c:pt>
                <c:pt idx="97">
                  <c:v>40</c:v>
                </c:pt>
                <c:pt idx="98">
                  <c:v>40</c:v>
                </c:pt>
                <c:pt idx="99">
                  <c:v>40</c:v>
                </c:pt>
                <c:pt idx="100">
                  <c:v>40</c:v>
                </c:pt>
                <c:pt idx="101">
                  <c:v>40</c:v>
                </c:pt>
                <c:pt idx="102">
                  <c:v>40</c:v>
                </c:pt>
                <c:pt idx="103">
                  <c:v>40</c:v>
                </c:pt>
                <c:pt idx="104">
                  <c:v>40</c:v>
                </c:pt>
                <c:pt idx="105">
                  <c:v>40</c:v>
                </c:pt>
                <c:pt idx="106">
                  <c:v>40</c:v>
                </c:pt>
                <c:pt idx="107">
                  <c:v>40</c:v>
                </c:pt>
                <c:pt idx="108">
                  <c:v>40</c:v>
                </c:pt>
                <c:pt idx="109">
                  <c:v>40</c:v>
                </c:pt>
                <c:pt idx="110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E0-495C-A7B3-F747C447F5EA}"/>
            </c:ext>
          </c:extLst>
        </c:ser>
        <c:ser>
          <c:idx val="2"/>
          <c:order val="2"/>
          <c:tx>
            <c:strRef>
              <c:f>'Basic model'!$I$6</c:f>
              <c:strCache>
                <c:ptCount val="1"/>
                <c:pt idx="0">
                  <c:v>max</c:v>
                </c:pt>
              </c:strCache>
            </c:strRef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'Basic model'!$I$7:$I$117</c:f>
              <c:numCache>
                <c:formatCode>0</c:formatCode>
                <c:ptCount val="1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E0-495C-A7B3-F747C447F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56800"/>
        <c:axId val="73417472"/>
      </c:lineChart>
      <c:catAx>
        <c:axId val="66156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3417472"/>
        <c:crosses val="autoZero"/>
        <c:auto val="1"/>
        <c:lblAlgn val="ctr"/>
        <c:lblOffset val="100"/>
        <c:tickLblSkip val="8"/>
        <c:tickMarkSkip val="1"/>
        <c:noMultiLvlLbl val="0"/>
      </c:catAx>
      <c:valAx>
        <c:axId val="7341747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mg/l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1568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07958806033769"/>
          <c:y val="8.6805849900478529E-2"/>
          <c:w val="0.8571445179666537"/>
          <c:h val="0.770835947116248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'Random factor'!$E$7:$E$117</c:f>
              <c:numCache>
                <c:formatCode>0.00</c:formatCode>
                <c:ptCount val="111"/>
                <c:pt idx="0">
                  <c:v>100</c:v>
                </c:pt>
                <c:pt idx="1">
                  <c:v>100</c:v>
                </c:pt>
                <c:pt idx="2">
                  <c:v>81</c:v>
                </c:pt>
                <c:pt idx="3">
                  <c:v>62</c:v>
                </c:pt>
                <c:pt idx="4">
                  <c:v>46.61</c:v>
                </c:pt>
                <c:pt idx="5">
                  <c:v>34.83</c:v>
                </c:pt>
                <c:pt idx="6">
                  <c:v>25.9741</c:v>
                </c:pt>
                <c:pt idx="7">
                  <c:v>91.356400000000008</c:v>
                </c:pt>
                <c:pt idx="8">
                  <c:v>86.421321000000006</c:v>
                </c:pt>
                <c:pt idx="9">
                  <c:v>76.372117000000003</c:v>
                </c:pt>
                <c:pt idx="10">
                  <c:v>66.865771690000003</c:v>
                </c:pt>
                <c:pt idx="11">
                  <c:v>58.464838820000004</c:v>
                </c:pt>
                <c:pt idx="12">
                  <c:v>51.109603934100008</c:v>
                </c:pt>
                <c:pt idx="13">
                  <c:v>44.678471663900005</c:v>
                </c:pt>
                <c:pt idx="14">
                  <c:v>111.056415231149</c:v>
                </c:pt>
                <c:pt idx="15">
                  <c:v>106.14178334812</c:v>
                </c:pt>
                <c:pt idx="16">
                  <c:v>90.593885215759144</c:v>
                </c:pt>
                <c:pt idx="17">
                  <c:v>75.734035547022344</c:v>
                </c:pt>
                <c:pt idx="18">
                  <c:v>63.050891616816067</c:v>
                </c:pt>
                <c:pt idx="19">
                  <c:v>52.448126640232942</c:v>
                </c:pt>
                <c:pt idx="20">
                  <c:v>43.621001813878692</c:v>
                </c:pt>
                <c:pt idx="21">
                  <c:v>108.27826408424608</c:v>
                </c:pt>
                <c:pt idx="22">
                  <c:v>102.17132383030305</c:v>
                </c:pt>
                <c:pt idx="23">
                  <c:v>88.095149499351066</c:v>
                </c:pt>
                <c:pt idx="24">
                  <c:v>74.812877401411669</c:v>
                </c:pt>
                <c:pt idx="25">
                  <c:v>63.36050796649603</c:v>
                </c:pt>
                <c:pt idx="26">
                  <c:v>53.634833904312515</c:v>
                </c:pt>
                <c:pt idx="27">
                  <c:v>45.397967868668033</c:v>
                </c:pt>
                <c:pt idx="28">
                  <c:v>38.425439461107409</c:v>
                </c:pt>
                <c:pt idx="29">
                  <c:v>32.523703638180564</c:v>
                </c:pt>
                <c:pt idx="30">
                  <c:v>25.991378929792305</c:v>
                </c:pt>
                <c:pt idx="31">
                  <c:v>92.462349311301608</c:v>
                </c:pt>
                <c:pt idx="32">
                  <c:v>88.043814893236913</c:v>
                </c:pt>
                <c:pt idx="33">
                  <c:v>72.325215510315644</c:v>
                </c:pt>
                <c:pt idx="34">
                  <c:v>57.357766978465371</c:v>
                </c:pt>
                <c:pt idx="35">
                  <c:v>45.062480341711712</c:v>
                </c:pt>
                <c:pt idx="36">
                  <c:v>35.311659955372598</c:v>
                </c:pt>
                <c:pt idx="37">
                  <c:v>28.55228790411584</c:v>
                </c:pt>
                <c:pt idx="38">
                  <c:v>95.25553891080996</c:v>
                </c:pt>
                <c:pt idx="39">
                  <c:v>90.97269572519258</c:v>
                </c:pt>
                <c:pt idx="40">
                  <c:v>76.684364888571082</c:v>
                </c:pt>
                <c:pt idx="41">
                  <c:v>63.038460529792196</c:v>
                </c:pt>
                <c:pt idx="42">
                  <c:v>51.535805796506537</c:v>
                </c:pt>
                <c:pt idx="43">
                  <c:v>42.080036717037707</c:v>
                </c:pt>
                <c:pt idx="44">
                  <c:v>36.41109807942199</c:v>
                </c:pt>
                <c:pt idx="45">
                  <c:v>103.78229404054784</c:v>
                </c:pt>
                <c:pt idx="46">
                  <c:v>99.777073251811416</c:v>
                </c:pt>
                <c:pt idx="47">
                  <c:v>88.361020907351161</c:v>
                </c:pt>
                <c:pt idx="48">
                  <c:v>77.385542849651912</c:v>
                </c:pt>
                <c:pt idx="49">
                  <c:v>67.665830549843292</c:v>
                </c:pt>
                <c:pt idx="50">
                  <c:v>59.153420836381585</c:v>
                </c:pt>
                <c:pt idx="51">
                  <c:v>51.033521170400391</c:v>
                </c:pt>
                <c:pt idx="52">
                  <c:v>43.935110670034604</c:v>
                </c:pt>
                <c:pt idx="53">
                  <c:v>37.811088129586558</c:v>
                </c:pt>
                <c:pt idx="54">
                  <c:v>32.538874849182406</c:v>
                </c:pt>
                <c:pt idx="55">
                  <c:v>100.00154427363202</c:v>
                </c:pt>
                <c:pt idx="56">
                  <c:v>96.096879291730133</c:v>
                </c:pt>
                <c:pt idx="57">
                  <c:v>84.096693978894294</c:v>
                </c:pt>
                <c:pt idx="58">
                  <c:v>70.643130878052077</c:v>
                </c:pt>
                <c:pt idx="59">
                  <c:v>58.869593721006879</c:v>
                </c:pt>
                <c:pt idx="60">
                  <c:v>48.97955539807959</c:v>
                </c:pt>
                <c:pt idx="61">
                  <c:v>40.73781227713863</c:v>
                </c:pt>
                <c:pt idx="62">
                  <c:v>105.88067452140749</c:v>
                </c:pt>
                <c:pt idx="63">
                  <c:v>100.17738080260807</c:v>
                </c:pt>
                <c:pt idx="64">
                  <c:v>85.354086369611025</c:v>
                </c:pt>
                <c:pt idx="65">
                  <c:v>72.33102686527198</c:v>
                </c:pt>
                <c:pt idx="66">
                  <c:v>61.234995637222546</c:v>
                </c:pt>
                <c:pt idx="67">
                  <c:v>51.83196214473719</c:v>
                </c:pt>
                <c:pt idx="68">
                  <c:v>43.871412711898259</c:v>
                </c:pt>
                <c:pt idx="69">
                  <c:v>109.13325763308242</c:v>
                </c:pt>
                <c:pt idx="70">
                  <c:v>103.42997398053565</c:v>
                </c:pt>
                <c:pt idx="71">
                  <c:v>89.242650488234943</c:v>
                </c:pt>
                <c:pt idx="72">
                  <c:v>75.796753870765315</c:v>
                </c:pt>
                <c:pt idx="73">
                  <c:v>64.195209307294775</c:v>
                </c:pt>
                <c:pt idx="74">
                  <c:v>54.341631304095287</c:v>
                </c:pt>
                <c:pt idx="75">
                  <c:v>45.99625409414697</c:v>
                </c:pt>
                <c:pt idx="76">
                  <c:v>38.931842024614582</c:v>
                </c:pt>
                <c:pt idx="77">
                  <c:v>32.952328992375477</c:v>
                </c:pt>
                <c:pt idx="78">
                  <c:v>27.891189529175584</c:v>
                </c:pt>
                <c:pt idx="79">
                  <c:v>93.959770310548009</c:v>
                </c:pt>
                <c:pt idx="80">
                  <c:v>88.939356195296398</c:v>
                </c:pt>
                <c:pt idx="81">
                  <c:v>72.026597539397756</c:v>
                </c:pt>
                <c:pt idx="82">
                  <c:v>56.017513424244406</c:v>
                </c:pt>
                <c:pt idx="83">
                  <c:v>43.052725867152809</c:v>
                </c:pt>
                <c:pt idx="84">
                  <c:v>32.969573450788815</c:v>
                </c:pt>
                <c:pt idx="85">
                  <c:v>25.220082794701309</c:v>
                </c:pt>
                <c:pt idx="86">
                  <c:v>92.274646777082992</c:v>
                </c:pt>
                <c:pt idx="87">
                  <c:v>88.4916343578778</c:v>
                </c:pt>
                <c:pt idx="88">
                  <c:v>74.650437341315353</c:v>
                </c:pt>
                <c:pt idx="89">
                  <c:v>61.37669218763368</c:v>
                </c:pt>
                <c:pt idx="90">
                  <c:v>50.179126586436375</c:v>
                </c:pt>
                <c:pt idx="91">
                  <c:v>40.972622758291322</c:v>
                </c:pt>
                <c:pt idx="92">
                  <c:v>33.445753770325865</c:v>
                </c:pt>
                <c:pt idx="93">
                  <c:v>98.480407901416342</c:v>
                </c:pt>
                <c:pt idx="94">
                  <c:v>92.79462976046095</c:v>
                </c:pt>
                <c:pt idx="95">
                  <c:v>76.052960417220177</c:v>
                </c:pt>
                <c:pt idx="96">
                  <c:v>60.277873357941814</c:v>
                </c:pt>
                <c:pt idx="97">
                  <c:v>47.348870087014383</c:v>
                </c:pt>
                <c:pt idx="98">
                  <c:v>37.101631616164276</c:v>
                </c:pt>
                <c:pt idx="99">
                  <c:v>29.052323701371833</c:v>
                </c:pt>
                <c:pt idx="100">
                  <c:v>22.00301369430062</c:v>
                </c:pt>
                <c:pt idx="101">
                  <c:v>16.483072191039973</c:v>
                </c:pt>
                <c:pt idx="102">
                  <c:v>12.302499589122856</c:v>
                </c:pt>
                <c:pt idx="103">
                  <c:v>81.170715872825269</c:v>
                </c:pt>
                <c:pt idx="104">
                  <c:v>78.83324095089192</c:v>
                </c:pt>
                <c:pt idx="105">
                  <c:v>63.410804935055118</c:v>
                </c:pt>
                <c:pt idx="106">
                  <c:v>48.432489154385649</c:v>
                </c:pt>
                <c:pt idx="107">
                  <c:v>38.286760364776832</c:v>
                </c:pt>
                <c:pt idx="108">
                  <c:v>30.537562100075128</c:v>
                </c:pt>
                <c:pt idx="109">
                  <c:v>24.411680441710836</c:v>
                </c:pt>
                <c:pt idx="110">
                  <c:v>91.525670505698827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7A-4947-A03F-0DE121004985}"/>
            </c:ext>
          </c:extLst>
        </c:ser>
        <c:ser>
          <c:idx val="1"/>
          <c:order val="1"/>
          <c:tx>
            <c:strRef>
              <c:f>'Basic model'!$H$6</c:f>
              <c:strCache>
                <c:ptCount val="1"/>
                <c:pt idx="0">
                  <c:v>min</c:v>
                </c:pt>
              </c:strCache>
            </c:strRef>
          </c:tx>
          <c:marker>
            <c:symbol val="none"/>
          </c:marker>
          <c:val>
            <c:numRef>
              <c:f>'Random factor'!$H$7:$H$117</c:f>
              <c:numCache>
                <c:formatCode>0</c:formatCode>
                <c:ptCount val="111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48</c:v>
                </c:pt>
                <c:pt idx="21">
                  <c:v>48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48</c:v>
                </c:pt>
                <c:pt idx="26">
                  <c:v>48</c:v>
                </c:pt>
                <c:pt idx="27">
                  <c:v>48</c:v>
                </c:pt>
                <c:pt idx="28">
                  <c:v>48</c:v>
                </c:pt>
                <c:pt idx="29">
                  <c:v>48</c:v>
                </c:pt>
                <c:pt idx="30">
                  <c:v>48</c:v>
                </c:pt>
                <c:pt idx="31">
                  <c:v>48</c:v>
                </c:pt>
                <c:pt idx="32">
                  <c:v>48</c:v>
                </c:pt>
                <c:pt idx="33">
                  <c:v>48</c:v>
                </c:pt>
                <c:pt idx="34">
                  <c:v>48</c:v>
                </c:pt>
                <c:pt idx="35">
                  <c:v>48</c:v>
                </c:pt>
                <c:pt idx="36">
                  <c:v>48</c:v>
                </c:pt>
                <c:pt idx="37">
                  <c:v>48</c:v>
                </c:pt>
                <c:pt idx="38">
                  <c:v>48</c:v>
                </c:pt>
                <c:pt idx="39">
                  <c:v>48</c:v>
                </c:pt>
                <c:pt idx="40">
                  <c:v>48</c:v>
                </c:pt>
                <c:pt idx="41">
                  <c:v>48</c:v>
                </c:pt>
                <c:pt idx="42">
                  <c:v>48</c:v>
                </c:pt>
                <c:pt idx="43">
                  <c:v>48</c:v>
                </c:pt>
                <c:pt idx="44">
                  <c:v>48</c:v>
                </c:pt>
                <c:pt idx="45">
                  <c:v>48</c:v>
                </c:pt>
                <c:pt idx="46">
                  <c:v>48</c:v>
                </c:pt>
                <c:pt idx="47">
                  <c:v>48</c:v>
                </c:pt>
                <c:pt idx="48">
                  <c:v>48</c:v>
                </c:pt>
                <c:pt idx="49">
                  <c:v>48</c:v>
                </c:pt>
                <c:pt idx="50">
                  <c:v>48</c:v>
                </c:pt>
                <c:pt idx="51">
                  <c:v>48</c:v>
                </c:pt>
                <c:pt idx="52">
                  <c:v>48</c:v>
                </c:pt>
                <c:pt idx="53">
                  <c:v>48</c:v>
                </c:pt>
                <c:pt idx="54">
                  <c:v>48</c:v>
                </c:pt>
                <c:pt idx="55">
                  <c:v>48</c:v>
                </c:pt>
                <c:pt idx="56">
                  <c:v>48</c:v>
                </c:pt>
                <c:pt idx="57">
                  <c:v>48</c:v>
                </c:pt>
                <c:pt idx="58">
                  <c:v>48</c:v>
                </c:pt>
                <c:pt idx="59">
                  <c:v>48</c:v>
                </c:pt>
                <c:pt idx="60">
                  <c:v>48</c:v>
                </c:pt>
                <c:pt idx="61">
                  <c:v>48</c:v>
                </c:pt>
                <c:pt idx="62">
                  <c:v>48</c:v>
                </c:pt>
                <c:pt idx="63">
                  <c:v>48</c:v>
                </c:pt>
                <c:pt idx="64">
                  <c:v>48</c:v>
                </c:pt>
                <c:pt idx="65">
                  <c:v>48</c:v>
                </c:pt>
                <c:pt idx="66">
                  <c:v>48</c:v>
                </c:pt>
                <c:pt idx="67">
                  <c:v>48</c:v>
                </c:pt>
                <c:pt idx="68">
                  <c:v>48</c:v>
                </c:pt>
                <c:pt idx="69">
                  <c:v>48</c:v>
                </c:pt>
                <c:pt idx="70">
                  <c:v>48</c:v>
                </c:pt>
                <c:pt idx="71">
                  <c:v>48</c:v>
                </c:pt>
                <c:pt idx="72">
                  <c:v>48</c:v>
                </c:pt>
                <c:pt idx="73">
                  <c:v>48</c:v>
                </c:pt>
                <c:pt idx="74">
                  <c:v>48</c:v>
                </c:pt>
                <c:pt idx="75">
                  <c:v>48</c:v>
                </c:pt>
                <c:pt idx="76">
                  <c:v>48</c:v>
                </c:pt>
                <c:pt idx="77">
                  <c:v>48</c:v>
                </c:pt>
                <c:pt idx="78">
                  <c:v>48</c:v>
                </c:pt>
                <c:pt idx="79">
                  <c:v>48</c:v>
                </c:pt>
                <c:pt idx="80">
                  <c:v>48</c:v>
                </c:pt>
                <c:pt idx="81">
                  <c:v>48</c:v>
                </c:pt>
                <c:pt idx="82">
                  <c:v>48</c:v>
                </c:pt>
                <c:pt idx="83">
                  <c:v>48</c:v>
                </c:pt>
                <c:pt idx="84">
                  <c:v>48</c:v>
                </c:pt>
                <c:pt idx="85">
                  <c:v>48</c:v>
                </c:pt>
                <c:pt idx="86">
                  <c:v>48</c:v>
                </c:pt>
                <c:pt idx="87">
                  <c:v>48</c:v>
                </c:pt>
                <c:pt idx="88">
                  <c:v>48</c:v>
                </c:pt>
                <c:pt idx="89">
                  <c:v>48</c:v>
                </c:pt>
                <c:pt idx="90">
                  <c:v>48</c:v>
                </c:pt>
                <c:pt idx="91">
                  <c:v>48</c:v>
                </c:pt>
                <c:pt idx="92">
                  <c:v>48</c:v>
                </c:pt>
                <c:pt idx="93">
                  <c:v>48</c:v>
                </c:pt>
                <c:pt idx="94">
                  <c:v>48</c:v>
                </c:pt>
                <c:pt idx="95">
                  <c:v>48</c:v>
                </c:pt>
                <c:pt idx="96">
                  <c:v>48</c:v>
                </c:pt>
                <c:pt idx="97">
                  <c:v>48</c:v>
                </c:pt>
                <c:pt idx="98">
                  <c:v>48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48</c:v>
                </c:pt>
                <c:pt idx="103">
                  <c:v>48</c:v>
                </c:pt>
                <c:pt idx="104">
                  <c:v>48</c:v>
                </c:pt>
                <c:pt idx="105">
                  <c:v>48</c:v>
                </c:pt>
                <c:pt idx="106">
                  <c:v>48</c:v>
                </c:pt>
                <c:pt idx="107">
                  <c:v>48</c:v>
                </c:pt>
                <c:pt idx="108">
                  <c:v>48</c:v>
                </c:pt>
                <c:pt idx="109">
                  <c:v>48</c:v>
                </c:pt>
                <c:pt idx="110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7A-4947-A03F-0DE121004985}"/>
            </c:ext>
          </c:extLst>
        </c:ser>
        <c:ser>
          <c:idx val="2"/>
          <c:order val="2"/>
          <c:tx>
            <c:strRef>
              <c:f>'Random factor'!$I$6</c:f>
              <c:strCache>
                <c:ptCount val="1"/>
                <c:pt idx="0">
                  <c:v>max</c:v>
                </c:pt>
              </c:strCache>
            </c:strRef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'Random factor'!$I$7:$I$117</c:f>
              <c:numCache>
                <c:formatCode>0</c:formatCode>
                <c:ptCount val="111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  <c:pt idx="16">
                  <c:v>120</c:v>
                </c:pt>
                <c:pt idx="17">
                  <c:v>120</c:v>
                </c:pt>
                <c:pt idx="18">
                  <c:v>120</c:v>
                </c:pt>
                <c:pt idx="19">
                  <c:v>120</c:v>
                </c:pt>
                <c:pt idx="20">
                  <c:v>120</c:v>
                </c:pt>
                <c:pt idx="21">
                  <c:v>120</c:v>
                </c:pt>
                <c:pt idx="22">
                  <c:v>120</c:v>
                </c:pt>
                <c:pt idx="23">
                  <c:v>120</c:v>
                </c:pt>
                <c:pt idx="24">
                  <c:v>120</c:v>
                </c:pt>
                <c:pt idx="25">
                  <c:v>120</c:v>
                </c:pt>
                <c:pt idx="26">
                  <c:v>120</c:v>
                </c:pt>
                <c:pt idx="27">
                  <c:v>120</c:v>
                </c:pt>
                <c:pt idx="28">
                  <c:v>120</c:v>
                </c:pt>
                <c:pt idx="29">
                  <c:v>120</c:v>
                </c:pt>
                <c:pt idx="30">
                  <c:v>120</c:v>
                </c:pt>
                <c:pt idx="31">
                  <c:v>120</c:v>
                </c:pt>
                <c:pt idx="32">
                  <c:v>120</c:v>
                </c:pt>
                <c:pt idx="33">
                  <c:v>120</c:v>
                </c:pt>
                <c:pt idx="34">
                  <c:v>120</c:v>
                </c:pt>
                <c:pt idx="35">
                  <c:v>120</c:v>
                </c:pt>
                <c:pt idx="36">
                  <c:v>120</c:v>
                </c:pt>
                <c:pt idx="37">
                  <c:v>120</c:v>
                </c:pt>
                <c:pt idx="38">
                  <c:v>120</c:v>
                </c:pt>
                <c:pt idx="39">
                  <c:v>120</c:v>
                </c:pt>
                <c:pt idx="40">
                  <c:v>120</c:v>
                </c:pt>
                <c:pt idx="41">
                  <c:v>120</c:v>
                </c:pt>
                <c:pt idx="42">
                  <c:v>120</c:v>
                </c:pt>
                <c:pt idx="43">
                  <c:v>120</c:v>
                </c:pt>
                <c:pt idx="44">
                  <c:v>120</c:v>
                </c:pt>
                <c:pt idx="45">
                  <c:v>120</c:v>
                </c:pt>
                <c:pt idx="46">
                  <c:v>120</c:v>
                </c:pt>
                <c:pt idx="47">
                  <c:v>120</c:v>
                </c:pt>
                <c:pt idx="48">
                  <c:v>120</c:v>
                </c:pt>
                <c:pt idx="49">
                  <c:v>120</c:v>
                </c:pt>
                <c:pt idx="50">
                  <c:v>120</c:v>
                </c:pt>
                <c:pt idx="51">
                  <c:v>120</c:v>
                </c:pt>
                <c:pt idx="52">
                  <c:v>120</c:v>
                </c:pt>
                <c:pt idx="53">
                  <c:v>120</c:v>
                </c:pt>
                <c:pt idx="54">
                  <c:v>120</c:v>
                </c:pt>
                <c:pt idx="55">
                  <c:v>120</c:v>
                </c:pt>
                <c:pt idx="56">
                  <c:v>120</c:v>
                </c:pt>
                <c:pt idx="57">
                  <c:v>120</c:v>
                </c:pt>
                <c:pt idx="58">
                  <c:v>120</c:v>
                </c:pt>
                <c:pt idx="59">
                  <c:v>120</c:v>
                </c:pt>
                <c:pt idx="60">
                  <c:v>120</c:v>
                </c:pt>
                <c:pt idx="61">
                  <c:v>120</c:v>
                </c:pt>
                <c:pt idx="62">
                  <c:v>120</c:v>
                </c:pt>
                <c:pt idx="63">
                  <c:v>120</c:v>
                </c:pt>
                <c:pt idx="64">
                  <c:v>120</c:v>
                </c:pt>
                <c:pt idx="65">
                  <c:v>120</c:v>
                </c:pt>
                <c:pt idx="66">
                  <c:v>120</c:v>
                </c:pt>
                <c:pt idx="67">
                  <c:v>120</c:v>
                </c:pt>
                <c:pt idx="68">
                  <c:v>120</c:v>
                </c:pt>
                <c:pt idx="69">
                  <c:v>120</c:v>
                </c:pt>
                <c:pt idx="70">
                  <c:v>120</c:v>
                </c:pt>
                <c:pt idx="71">
                  <c:v>120</c:v>
                </c:pt>
                <c:pt idx="72">
                  <c:v>120</c:v>
                </c:pt>
                <c:pt idx="73">
                  <c:v>120</c:v>
                </c:pt>
                <c:pt idx="74">
                  <c:v>120</c:v>
                </c:pt>
                <c:pt idx="75">
                  <c:v>120</c:v>
                </c:pt>
                <c:pt idx="76">
                  <c:v>120</c:v>
                </c:pt>
                <c:pt idx="77">
                  <c:v>120</c:v>
                </c:pt>
                <c:pt idx="78">
                  <c:v>120</c:v>
                </c:pt>
                <c:pt idx="79">
                  <c:v>120</c:v>
                </c:pt>
                <c:pt idx="80">
                  <c:v>120</c:v>
                </c:pt>
                <c:pt idx="81">
                  <c:v>120</c:v>
                </c:pt>
                <c:pt idx="82">
                  <c:v>120</c:v>
                </c:pt>
                <c:pt idx="83">
                  <c:v>120</c:v>
                </c:pt>
                <c:pt idx="84">
                  <c:v>120</c:v>
                </c:pt>
                <c:pt idx="85">
                  <c:v>120</c:v>
                </c:pt>
                <c:pt idx="86">
                  <c:v>120</c:v>
                </c:pt>
                <c:pt idx="87">
                  <c:v>120</c:v>
                </c:pt>
                <c:pt idx="88">
                  <c:v>120</c:v>
                </c:pt>
                <c:pt idx="89">
                  <c:v>120</c:v>
                </c:pt>
                <c:pt idx="90">
                  <c:v>120</c:v>
                </c:pt>
                <c:pt idx="91">
                  <c:v>120</c:v>
                </c:pt>
                <c:pt idx="92">
                  <c:v>120</c:v>
                </c:pt>
                <c:pt idx="93">
                  <c:v>120</c:v>
                </c:pt>
                <c:pt idx="94">
                  <c:v>120</c:v>
                </c:pt>
                <c:pt idx="95">
                  <c:v>120</c:v>
                </c:pt>
                <c:pt idx="96">
                  <c:v>120</c:v>
                </c:pt>
                <c:pt idx="97">
                  <c:v>120</c:v>
                </c:pt>
                <c:pt idx="98">
                  <c:v>120</c:v>
                </c:pt>
                <c:pt idx="99">
                  <c:v>120</c:v>
                </c:pt>
                <c:pt idx="100">
                  <c:v>120</c:v>
                </c:pt>
                <c:pt idx="101">
                  <c:v>120</c:v>
                </c:pt>
                <c:pt idx="102">
                  <c:v>120</c:v>
                </c:pt>
                <c:pt idx="103">
                  <c:v>120</c:v>
                </c:pt>
                <c:pt idx="104">
                  <c:v>120</c:v>
                </c:pt>
                <c:pt idx="105">
                  <c:v>120</c:v>
                </c:pt>
                <c:pt idx="106">
                  <c:v>120</c:v>
                </c:pt>
                <c:pt idx="107">
                  <c:v>120</c:v>
                </c:pt>
                <c:pt idx="108">
                  <c:v>120</c:v>
                </c:pt>
                <c:pt idx="109">
                  <c:v>120</c:v>
                </c:pt>
                <c:pt idx="110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7A-4947-A03F-0DE121004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606080"/>
        <c:axId val="74608000"/>
      </c:lineChart>
      <c:catAx>
        <c:axId val="74606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608000"/>
        <c:crosses val="autoZero"/>
        <c:auto val="1"/>
        <c:lblAlgn val="ctr"/>
        <c:lblOffset val="100"/>
        <c:tickLblSkip val="8"/>
        <c:tickMarkSkip val="1"/>
        <c:noMultiLvlLbl val="0"/>
      </c:catAx>
      <c:valAx>
        <c:axId val="7460800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mg/l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6060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7</xdr:row>
      <xdr:rowOff>19050</xdr:rowOff>
    </xdr:from>
    <xdr:to>
      <xdr:col>17</xdr:col>
      <xdr:colOff>600075</xdr:colOff>
      <xdr:row>24</xdr:row>
      <xdr:rowOff>9525</xdr:rowOff>
    </xdr:to>
    <xdr:graphicFrame macro="">
      <xdr:nvGraphicFramePr>
        <xdr:cNvPr id="1029" name="Chart 1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409575</xdr:colOff>
      <xdr:row>8</xdr:row>
      <xdr:rowOff>28575</xdr:rowOff>
    </xdr:from>
    <xdr:to>
      <xdr:col>18</xdr:col>
      <xdr:colOff>19050</xdr:colOff>
      <xdr:row>25</xdr:row>
      <xdr:rowOff>19050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7"/>
  <sheetViews>
    <sheetView zoomScaleNormal="100" workbookViewId="0" xr3:uid="{AEA406A1-0E4B-5B11-9CD5-51D6E497D94C}">
      <pane ySplit="6" topLeftCell="A35" activePane="bottomLeft" state="frozen"/>
      <selection pane="bottomLeft" activeCell="C52" sqref="C52"/>
    </sheetView>
  </sheetViews>
  <sheetFormatPr defaultRowHeight="12.75"/>
  <cols>
    <col min="1" max="2" width="4.7109375" customWidth="1"/>
    <col min="3" max="3" width="5.85546875" customWidth="1"/>
    <col min="4" max="4" width="9.5703125" bestFit="1" customWidth="1"/>
    <col min="5" max="5" width="13.140625" bestFit="1" customWidth="1"/>
    <col min="6" max="6" width="14.7109375" bestFit="1" customWidth="1"/>
    <col min="7" max="7" width="9.140625" style="5"/>
    <col min="8" max="9" width="5.5703125" style="5" customWidth="1"/>
    <col min="14" max="14" width="4.7109375" customWidth="1"/>
  </cols>
  <sheetData>
    <row r="1" spans="1:14">
      <c r="F1" s="16" t="s">
        <v>0</v>
      </c>
      <c r="G1" s="17">
        <v>6</v>
      </c>
      <c r="H1" s="22"/>
      <c r="I1" s="16" t="s">
        <v>1</v>
      </c>
      <c r="J1" s="17">
        <v>40</v>
      </c>
    </row>
    <row r="2" spans="1:14">
      <c r="F2" s="16" t="s">
        <v>2</v>
      </c>
      <c r="G2" s="17">
        <v>360</v>
      </c>
      <c r="H2" s="22"/>
      <c r="I2" s="16" t="s">
        <v>3</v>
      </c>
      <c r="J2" s="17">
        <v>100</v>
      </c>
    </row>
    <row r="3" spans="1:14">
      <c r="F3" s="16" t="s">
        <v>4</v>
      </c>
      <c r="G3" s="17">
        <v>0.12</v>
      </c>
      <c r="H3" s="22"/>
      <c r="I3" s="22"/>
    </row>
    <row r="4" spans="1:14" s="10" customFormat="1">
      <c r="D4" s="11"/>
      <c r="E4" s="11"/>
      <c r="F4" s="11"/>
    </row>
    <row r="5" spans="1:14" s="10" customFormat="1">
      <c r="C5" s="19" t="s">
        <v>5</v>
      </c>
      <c r="D5" s="11"/>
      <c r="E5" s="11"/>
      <c r="F5" s="11"/>
      <c r="G5" s="12" t="s">
        <v>6</v>
      </c>
      <c r="H5" s="12"/>
      <c r="I5" s="12"/>
    </row>
    <row r="6" spans="1:14" s="10" customFormat="1">
      <c r="A6" s="13" t="s">
        <v>7</v>
      </c>
      <c r="B6" s="14" t="s">
        <v>8</v>
      </c>
      <c r="C6" s="18" t="s">
        <v>9</v>
      </c>
      <c r="D6" s="11" t="s">
        <v>10</v>
      </c>
      <c r="E6" s="20" t="s">
        <v>11</v>
      </c>
      <c r="F6" s="11" t="s">
        <v>6</v>
      </c>
      <c r="G6" s="12" t="s">
        <v>12</v>
      </c>
      <c r="H6" s="12" t="s">
        <v>1</v>
      </c>
      <c r="I6" s="12" t="s">
        <v>3</v>
      </c>
      <c r="K6" s="15"/>
    </row>
    <row r="7" spans="1:14">
      <c r="A7">
        <v>0</v>
      </c>
      <c r="B7">
        <v>1</v>
      </c>
      <c r="C7" s="17">
        <v>0</v>
      </c>
      <c r="D7" s="1">
        <f>IF(C7=1,$G$2,0)</f>
        <v>0</v>
      </c>
      <c r="E7" s="21">
        <v>100</v>
      </c>
      <c r="F7" s="1">
        <v>0</v>
      </c>
      <c r="G7" s="6">
        <f>+$G$3</f>
        <v>0.12</v>
      </c>
      <c r="H7" s="23">
        <f>$J$1</f>
        <v>40</v>
      </c>
      <c r="I7" s="23">
        <f>$J$2</f>
        <v>100</v>
      </c>
    </row>
    <row r="8" spans="1:14">
      <c r="A8">
        <f>A7+B7</f>
        <v>1</v>
      </c>
      <c r="B8">
        <v>1</v>
      </c>
      <c r="C8" s="17">
        <v>0</v>
      </c>
      <c r="D8" s="1">
        <f t="shared" ref="D8:D71" si="0">IF(C8=1,$G$2,0)</f>
        <v>0</v>
      </c>
      <c r="E8" s="21">
        <f>E7+(D7/$G$1-F7)*B7</f>
        <v>100</v>
      </c>
      <c r="F8" s="1">
        <f>E7*G7</f>
        <v>12</v>
      </c>
      <c r="G8" s="6">
        <f>G7</f>
        <v>0.12</v>
      </c>
      <c r="H8" s="23">
        <f t="shared" ref="H8:H71" si="1">$J$1</f>
        <v>40</v>
      </c>
      <c r="I8" s="23">
        <f t="shared" ref="I8:I71" si="2">$J$2</f>
        <v>100</v>
      </c>
      <c r="J8" s="2"/>
      <c r="K8" s="2"/>
      <c r="L8" s="2"/>
      <c r="M8" s="2"/>
    </row>
    <row r="9" spans="1:14">
      <c r="A9">
        <f t="shared" ref="A9:A57" si="3">A8+B8</f>
        <v>2</v>
      </c>
      <c r="B9">
        <v>1</v>
      </c>
      <c r="C9" s="17">
        <v>0</v>
      </c>
      <c r="D9" s="1">
        <f t="shared" si="0"/>
        <v>0</v>
      </c>
      <c r="E9" s="21">
        <f t="shared" ref="E9:E72" si="4">E8+(D8/$G$1-F8)*B8</f>
        <v>88</v>
      </c>
      <c r="F9" s="1">
        <f>E8*G8</f>
        <v>12</v>
      </c>
      <c r="G9" s="6">
        <f t="shared" ref="G9:G57" si="5">G8</f>
        <v>0.12</v>
      </c>
      <c r="H9" s="23">
        <f t="shared" si="1"/>
        <v>40</v>
      </c>
      <c r="I9" s="23">
        <f t="shared" si="2"/>
        <v>100</v>
      </c>
      <c r="J9" s="2"/>
      <c r="K9" s="2"/>
      <c r="L9" s="2"/>
      <c r="M9" s="2"/>
    </row>
    <row r="10" spans="1:14">
      <c r="A10">
        <f t="shared" si="3"/>
        <v>3</v>
      </c>
      <c r="B10">
        <v>1</v>
      </c>
      <c r="C10" s="17">
        <v>0</v>
      </c>
      <c r="D10" s="1">
        <f t="shared" si="0"/>
        <v>0</v>
      </c>
      <c r="E10" s="21">
        <f t="shared" si="4"/>
        <v>76</v>
      </c>
      <c r="F10" s="1">
        <f>E9*G9</f>
        <v>10.559999999999999</v>
      </c>
      <c r="G10" s="6">
        <f t="shared" si="5"/>
        <v>0.12</v>
      </c>
      <c r="H10" s="23">
        <f t="shared" si="1"/>
        <v>40</v>
      </c>
      <c r="I10" s="23">
        <f t="shared" si="2"/>
        <v>100</v>
      </c>
    </row>
    <row r="11" spans="1:14">
      <c r="A11">
        <f t="shared" si="3"/>
        <v>4</v>
      </c>
      <c r="B11">
        <v>1</v>
      </c>
      <c r="C11" s="17">
        <v>0</v>
      </c>
      <c r="D11" s="1">
        <f t="shared" si="0"/>
        <v>0</v>
      </c>
      <c r="E11" s="21">
        <f t="shared" si="4"/>
        <v>65.44</v>
      </c>
      <c r="F11" s="1">
        <f>E10*G10</f>
        <v>9.1199999999999992</v>
      </c>
      <c r="G11" s="6">
        <f t="shared" si="5"/>
        <v>0.12</v>
      </c>
      <c r="H11" s="23">
        <f t="shared" si="1"/>
        <v>40</v>
      </c>
      <c r="I11" s="23">
        <f t="shared" si="2"/>
        <v>100</v>
      </c>
      <c r="J11" s="3"/>
      <c r="K11" s="3"/>
      <c r="L11" s="3"/>
      <c r="M11" s="3"/>
    </row>
    <row r="12" spans="1:14">
      <c r="A12">
        <f t="shared" si="3"/>
        <v>5</v>
      </c>
      <c r="B12">
        <v>1</v>
      </c>
      <c r="C12" s="17">
        <v>0</v>
      </c>
      <c r="D12" s="1">
        <f t="shared" si="0"/>
        <v>0</v>
      </c>
      <c r="E12" s="21">
        <f t="shared" si="4"/>
        <v>56.32</v>
      </c>
      <c r="F12" s="1">
        <f>E11*G11</f>
        <v>7.8527999999999993</v>
      </c>
      <c r="G12" s="6">
        <f t="shared" si="5"/>
        <v>0.12</v>
      </c>
      <c r="H12" s="23">
        <f t="shared" si="1"/>
        <v>40</v>
      </c>
      <c r="I12" s="23">
        <f t="shared" si="2"/>
        <v>100</v>
      </c>
    </row>
    <row r="13" spans="1:14">
      <c r="A13">
        <f t="shared" si="3"/>
        <v>6</v>
      </c>
      <c r="B13">
        <v>1</v>
      </c>
      <c r="C13" s="17">
        <v>1</v>
      </c>
      <c r="D13" s="1">
        <f t="shared" si="0"/>
        <v>360</v>
      </c>
      <c r="E13" s="21">
        <f t="shared" si="4"/>
        <v>48.467199999999998</v>
      </c>
      <c r="F13" s="1">
        <f>E12*G12</f>
        <v>6.7584</v>
      </c>
      <c r="G13" s="6">
        <f t="shared" si="5"/>
        <v>0.12</v>
      </c>
      <c r="H13" s="23">
        <f t="shared" si="1"/>
        <v>40</v>
      </c>
      <c r="I13" s="23">
        <f t="shared" si="2"/>
        <v>100</v>
      </c>
      <c r="K13" s="1"/>
      <c r="L13" s="1"/>
      <c r="M13" s="4"/>
      <c r="N13" t="s">
        <v>13</v>
      </c>
    </row>
    <row r="14" spans="1:14">
      <c r="A14">
        <f t="shared" si="3"/>
        <v>7</v>
      </c>
      <c r="B14">
        <v>1</v>
      </c>
      <c r="C14" s="17">
        <v>0</v>
      </c>
      <c r="D14" s="1">
        <f t="shared" si="0"/>
        <v>0</v>
      </c>
      <c r="E14" s="21">
        <f t="shared" si="4"/>
        <v>101.7088</v>
      </c>
      <c r="F14" s="1">
        <f>E13*G13</f>
        <v>5.8160639999999999</v>
      </c>
      <c r="G14" s="6">
        <f t="shared" si="5"/>
        <v>0.12</v>
      </c>
      <c r="H14" s="23">
        <f t="shared" si="1"/>
        <v>40</v>
      </c>
      <c r="I14" s="23">
        <f t="shared" si="2"/>
        <v>100</v>
      </c>
      <c r="K14" s="1"/>
      <c r="L14" s="1"/>
      <c r="M14" s="4"/>
    </row>
    <row r="15" spans="1:14">
      <c r="A15">
        <f t="shared" si="3"/>
        <v>8</v>
      </c>
      <c r="B15">
        <v>1</v>
      </c>
      <c r="C15" s="17">
        <v>0</v>
      </c>
      <c r="D15" s="1">
        <f t="shared" si="0"/>
        <v>0</v>
      </c>
      <c r="E15" s="21">
        <f t="shared" si="4"/>
        <v>95.892735999999999</v>
      </c>
      <c r="F15" s="1">
        <f>E14*G14</f>
        <v>12.205055999999999</v>
      </c>
      <c r="G15" s="6">
        <f t="shared" si="5"/>
        <v>0.12</v>
      </c>
      <c r="H15" s="23">
        <f t="shared" si="1"/>
        <v>40</v>
      </c>
      <c r="I15" s="23">
        <f t="shared" si="2"/>
        <v>100</v>
      </c>
      <c r="K15" s="1"/>
      <c r="L15" s="1"/>
      <c r="M15" s="4"/>
    </row>
    <row r="16" spans="1:14">
      <c r="A16">
        <f t="shared" si="3"/>
        <v>9</v>
      </c>
      <c r="B16">
        <v>1</v>
      </c>
      <c r="C16" s="17">
        <v>0</v>
      </c>
      <c r="D16" s="1">
        <f t="shared" si="0"/>
        <v>0</v>
      </c>
      <c r="E16" s="21">
        <f t="shared" si="4"/>
        <v>83.68768</v>
      </c>
      <c r="F16" s="1">
        <f>E15*G15</f>
        <v>11.50712832</v>
      </c>
      <c r="G16" s="6">
        <f t="shared" si="5"/>
        <v>0.12</v>
      </c>
      <c r="H16" s="23">
        <f t="shared" si="1"/>
        <v>40</v>
      </c>
      <c r="I16" s="23">
        <f t="shared" si="2"/>
        <v>100</v>
      </c>
      <c r="K16" s="1"/>
      <c r="L16" s="1"/>
      <c r="M16" s="4"/>
    </row>
    <row r="17" spans="1:18">
      <c r="A17">
        <f t="shared" si="3"/>
        <v>10</v>
      </c>
      <c r="B17">
        <v>1</v>
      </c>
      <c r="C17" s="17">
        <v>0</v>
      </c>
      <c r="D17" s="1">
        <f t="shared" si="0"/>
        <v>0</v>
      </c>
      <c r="E17" s="21">
        <f t="shared" si="4"/>
        <v>72.180551680000008</v>
      </c>
      <c r="F17" s="1">
        <f>E16*G16</f>
        <v>10.042521599999999</v>
      </c>
      <c r="G17" s="6">
        <f t="shared" si="5"/>
        <v>0.12</v>
      </c>
      <c r="H17" s="23">
        <f t="shared" si="1"/>
        <v>40</v>
      </c>
      <c r="I17" s="23">
        <f t="shared" si="2"/>
        <v>100</v>
      </c>
      <c r="K17" s="1"/>
      <c r="L17" s="1"/>
      <c r="M17" s="4"/>
    </row>
    <row r="18" spans="1:18">
      <c r="A18">
        <f t="shared" si="3"/>
        <v>11</v>
      </c>
      <c r="B18">
        <v>1</v>
      </c>
      <c r="C18" s="17">
        <v>0</v>
      </c>
      <c r="D18" s="1">
        <f t="shared" si="0"/>
        <v>0</v>
      </c>
      <c r="E18" s="21">
        <f t="shared" si="4"/>
        <v>62.138030080000007</v>
      </c>
      <c r="F18" s="1">
        <f>E17*G17</f>
        <v>8.661666201600001</v>
      </c>
      <c r="G18" s="6">
        <f t="shared" si="5"/>
        <v>0.12</v>
      </c>
      <c r="H18" s="23">
        <f t="shared" si="1"/>
        <v>40</v>
      </c>
      <c r="I18" s="23">
        <f t="shared" si="2"/>
        <v>100</v>
      </c>
      <c r="K18" s="1"/>
      <c r="L18" s="1"/>
      <c r="M18" s="4"/>
    </row>
    <row r="19" spans="1:18">
      <c r="A19">
        <f t="shared" si="3"/>
        <v>12</v>
      </c>
      <c r="B19">
        <v>1</v>
      </c>
      <c r="C19" s="17">
        <v>0</v>
      </c>
      <c r="D19" s="1">
        <f t="shared" si="0"/>
        <v>0</v>
      </c>
      <c r="E19" s="21">
        <f t="shared" si="4"/>
        <v>53.476363878400008</v>
      </c>
      <c r="F19" s="1">
        <f>E18*G18</f>
        <v>7.4565636096000008</v>
      </c>
      <c r="G19" s="6">
        <f t="shared" si="5"/>
        <v>0.12</v>
      </c>
      <c r="H19" s="23">
        <f t="shared" si="1"/>
        <v>40</v>
      </c>
      <c r="I19" s="23">
        <f t="shared" si="2"/>
        <v>100</v>
      </c>
      <c r="K19" s="1"/>
      <c r="L19" s="1"/>
      <c r="M19" s="4"/>
    </row>
    <row r="20" spans="1:18">
      <c r="A20">
        <f t="shared" si="3"/>
        <v>13</v>
      </c>
      <c r="B20">
        <v>1</v>
      </c>
      <c r="C20" s="17">
        <v>1</v>
      </c>
      <c r="D20" s="1">
        <f t="shared" si="0"/>
        <v>360</v>
      </c>
      <c r="E20" s="21">
        <f t="shared" si="4"/>
        <v>46.019800268800005</v>
      </c>
      <c r="F20" s="1">
        <f>E19*G19</f>
        <v>6.4171636654080011</v>
      </c>
      <c r="G20" s="6">
        <f t="shared" si="5"/>
        <v>0.12</v>
      </c>
      <c r="H20" s="23">
        <f t="shared" si="1"/>
        <v>40</v>
      </c>
      <c r="I20" s="23">
        <f t="shared" si="2"/>
        <v>100</v>
      </c>
      <c r="K20" s="1"/>
      <c r="L20" s="1"/>
      <c r="M20" s="4"/>
    </row>
    <row r="21" spans="1:18">
      <c r="A21">
        <f t="shared" si="3"/>
        <v>14</v>
      </c>
      <c r="B21">
        <v>1</v>
      </c>
      <c r="C21" s="17">
        <v>0</v>
      </c>
      <c r="D21" s="1">
        <f t="shared" si="0"/>
        <v>0</v>
      </c>
      <c r="E21" s="21">
        <f t="shared" si="4"/>
        <v>99.602636603392</v>
      </c>
      <c r="F21" s="1">
        <f>E20*G20</f>
        <v>5.522376032256</v>
      </c>
      <c r="G21" s="6">
        <f t="shared" si="5"/>
        <v>0.12</v>
      </c>
      <c r="H21" s="23">
        <f t="shared" si="1"/>
        <v>40</v>
      </c>
      <c r="I21" s="23">
        <f t="shared" si="2"/>
        <v>100</v>
      </c>
      <c r="K21" s="1"/>
      <c r="L21" s="1"/>
      <c r="M21" s="4"/>
      <c r="P21" t="s">
        <v>13</v>
      </c>
    </row>
    <row r="22" spans="1:18">
      <c r="A22">
        <f t="shared" si="3"/>
        <v>15</v>
      </c>
      <c r="B22">
        <v>1</v>
      </c>
      <c r="C22" s="17">
        <v>0</v>
      </c>
      <c r="D22" s="1">
        <f t="shared" si="0"/>
        <v>0</v>
      </c>
      <c r="E22" s="21">
        <f t="shared" si="4"/>
        <v>94.080260571135994</v>
      </c>
      <c r="F22" s="1">
        <f>E21*G21</f>
        <v>11.95231639240704</v>
      </c>
      <c r="G22" s="6">
        <f t="shared" si="5"/>
        <v>0.12</v>
      </c>
      <c r="H22" s="23">
        <f t="shared" si="1"/>
        <v>40</v>
      </c>
      <c r="I22" s="23">
        <f t="shared" si="2"/>
        <v>100</v>
      </c>
      <c r="J22" t="s">
        <v>13</v>
      </c>
      <c r="K22" s="1"/>
      <c r="L22" s="1"/>
      <c r="M22" s="4"/>
      <c r="O22" t="s">
        <v>13</v>
      </c>
      <c r="P22" t="s">
        <v>13</v>
      </c>
    </row>
    <row r="23" spans="1:18">
      <c r="A23">
        <f t="shared" si="3"/>
        <v>16</v>
      </c>
      <c r="B23">
        <v>1</v>
      </c>
      <c r="C23" s="17">
        <v>0</v>
      </c>
      <c r="D23" s="1">
        <f t="shared" si="0"/>
        <v>0</v>
      </c>
      <c r="E23" s="21">
        <f t="shared" si="4"/>
        <v>82.127944178728953</v>
      </c>
      <c r="F23" s="1">
        <f>E22*G22</f>
        <v>11.289631268536318</v>
      </c>
      <c r="G23" s="6">
        <f t="shared" si="5"/>
        <v>0.12</v>
      </c>
      <c r="H23" s="23">
        <f t="shared" si="1"/>
        <v>40</v>
      </c>
      <c r="I23" s="23">
        <f t="shared" si="2"/>
        <v>100</v>
      </c>
      <c r="K23" s="1"/>
      <c r="L23" s="1"/>
      <c r="M23" s="4"/>
      <c r="P23" t="s">
        <v>13</v>
      </c>
    </row>
    <row r="24" spans="1:18">
      <c r="A24">
        <f t="shared" si="3"/>
        <v>17</v>
      </c>
      <c r="B24">
        <v>1</v>
      </c>
      <c r="C24" s="17">
        <v>0</v>
      </c>
      <c r="D24" s="1">
        <f t="shared" si="0"/>
        <v>0</v>
      </c>
      <c r="E24" s="21">
        <f t="shared" si="4"/>
        <v>70.838312910192627</v>
      </c>
      <c r="F24" s="1">
        <f>E23*G23</f>
        <v>9.8553533014474741</v>
      </c>
      <c r="G24" s="6">
        <f t="shared" si="5"/>
        <v>0.12</v>
      </c>
      <c r="H24" s="23">
        <f t="shared" si="1"/>
        <v>40</v>
      </c>
      <c r="I24" s="23">
        <f t="shared" si="2"/>
        <v>100</v>
      </c>
      <c r="K24" s="1"/>
      <c r="L24" s="1"/>
      <c r="M24" s="4"/>
    </row>
    <row r="25" spans="1:18">
      <c r="A25">
        <f t="shared" si="3"/>
        <v>18</v>
      </c>
      <c r="B25">
        <v>1</v>
      </c>
      <c r="C25" s="17">
        <v>0</v>
      </c>
      <c r="D25" s="1">
        <f t="shared" si="0"/>
        <v>0</v>
      </c>
      <c r="E25" s="21">
        <f t="shared" si="4"/>
        <v>60.982959608745155</v>
      </c>
      <c r="F25" s="1">
        <f>E24*G24</f>
        <v>8.5005975492231158</v>
      </c>
      <c r="G25" s="6">
        <f t="shared" si="5"/>
        <v>0.12</v>
      </c>
      <c r="H25" s="23">
        <f t="shared" si="1"/>
        <v>40</v>
      </c>
      <c r="I25" s="23">
        <f t="shared" si="2"/>
        <v>100</v>
      </c>
      <c r="K25" s="1"/>
      <c r="L25" s="1"/>
      <c r="M25" s="4"/>
    </row>
    <row r="26" spans="1:18">
      <c r="A26">
        <f t="shared" si="3"/>
        <v>19</v>
      </c>
      <c r="B26">
        <v>1</v>
      </c>
      <c r="C26" s="17">
        <v>0</v>
      </c>
      <c r="D26" s="1">
        <f t="shared" si="0"/>
        <v>0</v>
      </c>
      <c r="E26" s="21">
        <f t="shared" si="4"/>
        <v>52.482362059522039</v>
      </c>
      <c r="F26" s="1">
        <f>E25*G25</f>
        <v>7.317955153049418</v>
      </c>
      <c r="G26" s="6">
        <f t="shared" si="5"/>
        <v>0.12</v>
      </c>
      <c r="H26" s="23">
        <f t="shared" si="1"/>
        <v>40</v>
      </c>
      <c r="I26" s="23">
        <f t="shared" si="2"/>
        <v>100</v>
      </c>
      <c r="K26" s="1"/>
      <c r="L26" s="1"/>
      <c r="M26" s="4"/>
      <c r="O26" t="s">
        <v>13</v>
      </c>
      <c r="R26" t="s">
        <v>13</v>
      </c>
    </row>
    <row r="27" spans="1:18">
      <c r="A27">
        <f t="shared" si="3"/>
        <v>20</v>
      </c>
      <c r="B27">
        <v>1</v>
      </c>
      <c r="C27" s="17">
        <v>1</v>
      </c>
      <c r="D27" s="1">
        <f t="shared" si="0"/>
        <v>360</v>
      </c>
      <c r="E27" s="21">
        <f t="shared" si="4"/>
        <v>45.164406906472621</v>
      </c>
      <c r="F27" s="1">
        <f>E26*G26</f>
        <v>6.2978834471426444</v>
      </c>
      <c r="G27" s="6">
        <f t="shared" si="5"/>
        <v>0.12</v>
      </c>
      <c r="H27" s="23">
        <f t="shared" si="1"/>
        <v>40</v>
      </c>
      <c r="I27" s="23">
        <f t="shared" si="2"/>
        <v>100</v>
      </c>
      <c r="K27" s="1"/>
      <c r="L27" s="1"/>
      <c r="M27" s="4" t="s">
        <v>13</v>
      </c>
    </row>
    <row r="28" spans="1:18">
      <c r="A28">
        <f t="shared" si="3"/>
        <v>21</v>
      </c>
      <c r="B28">
        <v>1</v>
      </c>
      <c r="C28" s="17">
        <v>0</v>
      </c>
      <c r="D28" s="1">
        <f t="shared" si="0"/>
        <v>0</v>
      </c>
      <c r="E28" s="21">
        <f t="shared" si="4"/>
        <v>98.866523459329983</v>
      </c>
      <c r="F28" s="1">
        <f>E27*G27</f>
        <v>5.419728828776714</v>
      </c>
      <c r="G28" s="6">
        <f t="shared" si="5"/>
        <v>0.12</v>
      </c>
      <c r="H28" s="23">
        <f t="shared" si="1"/>
        <v>40</v>
      </c>
      <c r="I28" s="23">
        <f t="shared" si="2"/>
        <v>100</v>
      </c>
      <c r="K28" s="1"/>
      <c r="L28" s="1"/>
      <c r="M28" s="4"/>
    </row>
    <row r="29" spans="1:18">
      <c r="A29">
        <f t="shared" si="3"/>
        <v>22</v>
      </c>
      <c r="B29">
        <v>1</v>
      </c>
      <c r="C29" s="17">
        <v>0</v>
      </c>
      <c r="D29" s="1">
        <f t="shared" si="0"/>
        <v>0</v>
      </c>
      <c r="E29" s="21">
        <f t="shared" si="4"/>
        <v>93.446794630553271</v>
      </c>
      <c r="F29" s="1">
        <f>E28*G28</f>
        <v>11.863982815119597</v>
      </c>
      <c r="G29" s="6">
        <f t="shared" si="5"/>
        <v>0.12</v>
      </c>
      <c r="H29" s="23">
        <f t="shared" si="1"/>
        <v>40</v>
      </c>
      <c r="I29" s="23">
        <f t="shared" si="2"/>
        <v>100</v>
      </c>
      <c r="K29" s="1"/>
      <c r="L29" s="1"/>
      <c r="M29" s="4"/>
    </row>
    <row r="30" spans="1:18">
      <c r="A30">
        <f t="shared" si="3"/>
        <v>23</v>
      </c>
      <c r="B30">
        <v>1</v>
      </c>
      <c r="C30" s="17">
        <v>0</v>
      </c>
      <c r="D30" s="1">
        <f t="shared" si="0"/>
        <v>0</v>
      </c>
      <c r="E30" s="21">
        <f t="shared" si="4"/>
        <v>81.582811815433672</v>
      </c>
      <c r="F30" s="1">
        <f>E29*G29</f>
        <v>11.213615355666391</v>
      </c>
      <c r="G30" s="6">
        <f t="shared" si="5"/>
        <v>0.12</v>
      </c>
      <c r="H30" s="23">
        <f t="shared" si="1"/>
        <v>40</v>
      </c>
      <c r="I30" s="23">
        <f t="shared" si="2"/>
        <v>100</v>
      </c>
      <c r="K30" s="1"/>
      <c r="L30" s="1" t="s">
        <v>13</v>
      </c>
      <c r="M30" s="4"/>
    </row>
    <row r="31" spans="1:18">
      <c r="A31" s="7">
        <f t="shared" si="3"/>
        <v>24</v>
      </c>
      <c r="B31" s="7">
        <v>1</v>
      </c>
      <c r="C31" s="17">
        <v>0</v>
      </c>
      <c r="D31" s="1">
        <f t="shared" si="0"/>
        <v>0</v>
      </c>
      <c r="E31" s="21">
        <f t="shared" si="4"/>
        <v>70.369196459767281</v>
      </c>
      <c r="F31" s="8">
        <f>E30*G30</f>
        <v>9.7899374178520411</v>
      </c>
      <c r="G31" s="9">
        <f t="shared" si="5"/>
        <v>0.12</v>
      </c>
      <c r="H31" s="23">
        <f t="shared" si="1"/>
        <v>40</v>
      </c>
      <c r="I31" s="23">
        <f t="shared" si="2"/>
        <v>100</v>
      </c>
      <c r="K31" s="1"/>
      <c r="L31" s="1"/>
      <c r="M31" s="4"/>
      <c r="N31" t="s">
        <v>13</v>
      </c>
    </row>
    <row r="32" spans="1:18">
      <c r="A32">
        <f t="shared" si="3"/>
        <v>25</v>
      </c>
      <c r="B32">
        <v>1</v>
      </c>
      <c r="C32" s="17">
        <v>0</v>
      </c>
      <c r="D32" s="1">
        <f t="shared" si="0"/>
        <v>0</v>
      </c>
      <c r="E32" s="21">
        <f t="shared" si="4"/>
        <v>60.579259041915236</v>
      </c>
      <c r="F32" s="1">
        <f>E31*G31</f>
        <v>8.4443035751720732</v>
      </c>
      <c r="G32" s="6">
        <f t="shared" si="5"/>
        <v>0.12</v>
      </c>
      <c r="H32" s="23">
        <f t="shared" si="1"/>
        <v>40</v>
      </c>
      <c r="I32" s="23">
        <f t="shared" si="2"/>
        <v>100</v>
      </c>
      <c r="K32" s="1"/>
      <c r="L32" s="1" t="s">
        <v>13</v>
      </c>
      <c r="M32" s="4"/>
    </row>
    <row r="33" spans="1:16">
      <c r="A33">
        <f t="shared" si="3"/>
        <v>26</v>
      </c>
      <c r="B33">
        <v>1</v>
      </c>
      <c r="C33" s="17">
        <v>0</v>
      </c>
      <c r="D33" s="1">
        <f t="shared" si="0"/>
        <v>0</v>
      </c>
      <c r="E33" s="21">
        <f t="shared" si="4"/>
        <v>52.134955466743165</v>
      </c>
      <c r="F33" s="1">
        <f>E32*G32</f>
        <v>7.2695110850298281</v>
      </c>
      <c r="G33" s="6">
        <f t="shared" si="5"/>
        <v>0.12</v>
      </c>
      <c r="H33" s="23">
        <f t="shared" si="1"/>
        <v>40</v>
      </c>
      <c r="I33" s="23">
        <f t="shared" si="2"/>
        <v>100</v>
      </c>
      <c r="K33" s="1"/>
      <c r="L33" s="1"/>
      <c r="M33" s="4"/>
    </row>
    <row r="34" spans="1:16">
      <c r="A34">
        <f t="shared" si="3"/>
        <v>27</v>
      </c>
      <c r="B34">
        <v>1</v>
      </c>
      <c r="C34" s="17">
        <v>0</v>
      </c>
      <c r="D34" s="1">
        <f t="shared" si="0"/>
        <v>0</v>
      </c>
      <c r="E34" s="21">
        <f t="shared" si="4"/>
        <v>44.865444381713338</v>
      </c>
      <c r="F34" s="1">
        <f>E33*G33</f>
        <v>6.2561946560091792</v>
      </c>
      <c r="G34" s="6">
        <f t="shared" si="5"/>
        <v>0.12</v>
      </c>
      <c r="H34" s="23">
        <f t="shared" si="1"/>
        <v>40</v>
      </c>
      <c r="I34" s="23">
        <f t="shared" si="2"/>
        <v>100</v>
      </c>
      <c r="K34" s="1"/>
      <c r="L34" s="1"/>
      <c r="M34" s="4"/>
    </row>
    <row r="35" spans="1:16">
      <c r="A35">
        <f t="shared" si="3"/>
        <v>28</v>
      </c>
      <c r="B35">
        <v>1</v>
      </c>
      <c r="C35" s="17">
        <v>0</v>
      </c>
      <c r="D35" s="1">
        <f t="shared" si="0"/>
        <v>0</v>
      </c>
      <c r="E35" s="21">
        <f t="shared" si="4"/>
        <v>38.60924972570416</v>
      </c>
      <c r="F35" s="1">
        <f>E34*G34</f>
        <v>5.3838533258056005</v>
      </c>
      <c r="G35" s="6">
        <f t="shared" si="5"/>
        <v>0.12</v>
      </c>
      <c r="H35" s="23">
        <f t="shared" si="1"/>
        <v>40</v>
      </c>
      <c r="I35" s="23">
        <f t="shared" si="2"/>
        <v>100</v>
      </c>
      <c r="K35" s="1"/>
      <c r="L35" s="1"/>
      <c r="M35" s="4"/>
    </row>
    <row r="36" spans="1:16">
      <c r="A36">
        <f t="shared" si="3"/>
        <v>29</v>
      </c>
      <c r="B36">
        <v>1</v>
      </c>
      <c r="C36" s="17">
        <v>0</v>
      </c>
      <c r="D36" s="1">
        <f t="shared" si="0"/>
        <v>0</v>
      </c>
      <c r="E36" s="21">
        <f t="shared" si="4"/>
        <v>33.225396399898557</v>
      </c>
      <c r="F36" s="1">
        <f>E35*G35</f>
        <v>4.6331099670844988</v>
      </c>
      <c r="G36" s="6">
        <f t="shared" si="5"/>
        <v>0.12</v>
      </c>
      <c r="H36" s="23">
        <f t="shared" si="1"/>
        <v>40</v>
      </c>
      <c r="I36" s="23">
        <f t="shared" si="2"/>
        <v>100</v>
      </c>
      <c r="K36" s="1" t="s">
        <v>13</v>
      </c>
      <c r="L36" s="1"/>
      <c r="M36" s="4"/>
    </row>
    <row r="37" spans="1:16">
      <c r="A37">
        <f t="shared" si="3"/>
        <v>30</v>
      </c>
      <c r="B37">
        <v>1</v>
      </c>
      <c r="C37" s="17">
        <v>1</v>
      </c>
      <c r="D37" s="1">
        <f t="shared" si="0"/>
        <v>360</v>
      </c>
      <c r="E37" s="21">
        <f t="shared" si="4"/>
        <v>28.592286432814056</v>
      </c>
      <c r="F37" s="1">
        <f>E36*G36</f>
        <v>3.9870475679878266</v>
      </c>
      <c r="G37" s="6">
        <f t="shared" si="5"/>
        <v>0.12</v>
      </c>
      <c r="H37" s="23">
        <f t="shared" si="1"/>
        <v>40</v>
      </c>
      <c r="I37" s="23">
        <f t="shared" si="2"/>
        <v>100</v>
      </c>
      <c r="K37" s="1" t="s">
        <v>13</v>
      </c>
      <c r="L37" s="1"/>
      <c r="M37" s="4"/>
    </row>
    <row r="38" spans="1:16">
      <c r="A38">
        <f t="shared" si="3"/>
        <v>31</v>
      </c>
      <c r="B38">
        <v>1</v>
      </c>
      <c r="C38" s="17">
        <v>0</v>
      </c>
      <c r="D38" s="1">
        <f t="shared" si="0"/>
        <v>0</v>
      </c>
      <c r="E38" s="21">
        <f t="shared" si="4"/>
        <v>84.605238864826219</v>
      </c>
      <c r="F38" s="1">
        <f>E37*G37</f>
        <v>3.4310743719376866</v>
      </c>
      <c r="G38" s="6">
        <f t="shared" si="5"/>
        <v>0.12</v>
      </c>
      <c r="H38" s="23">
        <f t="shared" si="1"/>
        <v>40</v>
      </c>
      <c r="I38" s="23">
        <f t="shared" si="2"/>
        <v>100</v>
      </c>
      <c r="K38" s="1"/>
      <c r="L38" s="1"/>
      <c r="M38" s="4"/>
    </row>
    <row r="39" spans="1:16">
      <c r="A39">
        <f t="shared" si="3"/>
        <v>32</v>
      </c>
      <c r="B39">
        <v>1</v>
      </c>
      <c r="C39" s="17">
        <v>0</v>
      </c>
      <c r="D39" s="1">
        <f t="shared" si="0"/>
        <v>0</v>
      </c>
      <c r="E39" s="21">
        <f t="shared" si="4"/>
        <v>81.174164492888536</v>
      </c>
      <c r="F39" s="1">
        <f>E38*G38</f>
        <v>10.152628663779145</v>
      </c>
      <c r="G39" s="6">
        <f t="shared" si="5"/>
        <v>0.12</v>
      </c>
      <c r="H39" s="23">
        <f t="shared" si="1"/>
        <v>40</v>
      </c>
      <c r="I39" s="23">
        <f t="shared" si="2"/>
        <v>100</v>
      </c>
      <c r="K39" s="1"/>
      <c r="L39" s="1"/>
      <c r="M39" s="4"/>
      <c r="P39" t="s">
        <v>13</v>
      </c>
    </row>
    <row r="40" spans="1:16">
      <c r="A40">
        <f t="shared" si="3"/>
        <v>33</v>
      </c>
      <c r="B40">
        <v>1</v>
      </c>
      <c r="C40" s="17">
        <v>0</v>
      </c>
      <c r="D40" s="1">
        <f t="shared" si="0"/>
        <v>0</v>
      </c>
      <c r="E40" s="21">
        <f t="shared" si="4"/>
        <v>71.021535829109396</v>
      </c>
      <c r="F40" s="1">
        <f>E39*G39</f>
        <v>9.7408997391466237</v>
      </c>
      <c r="G40" s="6">
        <f t="shared" si="5"/>
        <v>0.12</v>
      </c>
      <c r="H40" s="23">
        <f t="shared" si="1"/>
        <v>40</v>
      </c>
      <c r="I40" s="23">
        <f t="shared" si="2"/>
        <v>100</v>
      </c>
      <c r="K40" s="1"/>
      <c r="L40" s="1"/>
      <c r="M40" s="4"/>
    </row>
    <row r="41" spans="1:16">
      <c r="A41">
        <f t="shared" si="3"/>
        <v>34</v>
      </c>
      <c r="B41">
        <v>1</v>
      </c>
      <c r="C41" s="17">
        <v>0</v>
      </c>
      <c r="D41" s="1">
        <f t="shared" si="0"/>
        <v>0</v>
      </c>
      <c r="E41" s="21">
        <f t="shared" si="4"/>
        <v>61.280636089962769</v>
      </c>
      <c r="F41" s="1">
        <f>E40*G40</f>
        <v>8.5225842994931273</v>
      </c>
      <c r="G41" s="6">
        <f t="shared" si="5"/>
        <v>0.12</v>
      </c>
      <c r="H41" s="23">
        <f t="shared" si="1"/>
        <v>40</v>
      </c>
      <c r="I41" s="23">
        <f t="shared" si="2"/>
        <v>100</v>
      </c>
      <c r="K41" s="1"/>
      <c r="L41" s="1"/>
      <c r="M41" s="4"/>
    </row>
    <row r="42" spans="1:16">
      <c r="A42">
        <f t="shared" si="3"/>
        <v>35</v>
      </c>
      <c r="B42">
        <v>1</v>
      </c>
      <c r="C42" s="17">
        <v>0</v>
      </c>
      <c r="D42" s="1">
        <f t="shared" si="0"/>
        <v>0</v>
      </c>
      <c r="E42" s="21">
        <f t="shared" si="4"/>
        <v>52.758051790469644</v>
      </c>
      <c r="F42" s="1">
        <f>E41*G41</f>
        <v>7.3536763307955324</v>
      </c>
      <c r="G42" s="6">
        <f t="shared" si="5"/>
        <v>0.12</v>
      </c>
      <c r="H42" s="23">
        <f t="shared" si="1"/>
        <v>40</v>
      </c>
      <c r="I42" s="23">
        <f t="shared" si="2"/>
        <v>100</v>
      </c>
      <c r="K42" s="1"/>
      <c r="L42" s="1"/>
      <c r="M42" s="4"/>
    </row>
    <row r="43" spans="1:16">
      <c r="A43">
        <f t="shared" si="3"/>
        <v>36</v>
      </c>
      <c r="B43">
        <v>1</v>
      </c>
      <c r="C43" s="17">
        <v>0</v>
      </c>
      <c r="D43" s="1">
        <f t="shared" si="0"/>
        <v>0</v>
      </c>
      <c r="E43" s="21">
        <f t="shared" si="4"/>
        <v>45.404375459674114</v>
      </c>
      <c r="F43" s="1">
        <f>E42*G42</f>
        <v>6.3309662148563568</v>
      </c>
      <c r="G43" s="6">
        <f t="shared" si="5"/>
        <v>0.12</v>
      </c>
      <c r="H43" s="23">
        <f t="shared" si="1"/>
        <v>40</v>
      </c>
      <c r="I43" s="23">
        <f t="shared" si="2"/>
        <v>100</v>
      </c>
      <c r="K43" s="1"/>
      <c r="L43" s="1"/>
      <c r="M43" s="4"/>
    </row>
    <row r="44" spans="1:16">
      <c r="A44">
        <f t="shared" si="3"/>
        <v>37</v>
      </c>
      <c r="B44">
        <v>1</v>
      </c>
      <c r="C44" s="17">
        <v>1</v>
      </c>
      <c r="D44" s="1">
        <f t="shared" si="0"/>
        <v>360</v>
      </c>
      <c r="E44" s="21">
        <f t="shared" si="4"/>
        <v>39.073409244817753</v>
      </c>
      <c r="F44" s="1">
        <f>E43*G43</f>
        <v>5.4485250551608937</v>
      </c>
      <c r="G44" s="6">
        <f t="shared" si="5"/>
        <v>0.12</v>
      </c>
      <c r="H44" s="23">
        <f t="shared" si="1"/>
        <v>40</v>
      </c>
      <c r="I44" s="23">
        <f t="shared" si="2"/>
        <v>100</v>
      </c>
      <c r="K44" s="1"/>
      <c r="L44" s="1"/>
      <c r="M44" s="4"/>
    </row>
    <row r="45" spans="1:16">
      <c r="A45">
        <f t="shared" si="3"/>
        <v>38</v>
      </c>
      <c r="B45">
        <v>1</v>
      </c>
      <c r="C45" s="17">
        <v>0</v>
      </c>
      <c r="D45" s="1">
        <f t="shared" si="0"/>
        <v>0</v>
      </c>
      <c r="E45" s="21">
        <f t="shared" si="4"/>
        <v>93.624884189656854</v>
      </c>
      <c r="F45" s="1">
        <f>E44*G44</f>
        <v>4.6888091093781306</v>
      </c>
      <c r="G45" s="6">
        <f t="shared" si="5"/>
        <v>0.12</v>
      </c>
      <c r="H45" s="23">
        <f t="shared" si="1"/>
        <v>40</v>
      </c>
      <c r="I45" s="23">
        <f t="shared" si="2"/>
        <v>100</v>
      </c>
      <c r="K45" s="1"/>
      <c r="L45" s="1"/>
      <c r="M45" s="4"/>
    </row>
    <row r="46" spans="1:16">
      <c r="A46">
        <f t="shared" si="3"/>
        <v>39</v>
      </c>
      <c r="B46">
        <v>1</v>
      </c>
      <c r="C46" s="17">
        <v>0</v>
      </c>
      <c r="D46" s="1">
        <f t="shared" si="0"/>
        <v>0</v>
      </c>
      <c r="E46" s="21">
        <f t="shared" si="4"/>
        <v>88.936075080278727</v>
      </c>
      <c r="F46" s="1">
        <f>E45*G45</f>
        <v>11.234986102758821</v>
      </c>
      <c r="G46" s="6">
        <f t="shared" si="5"/>
        <v>0.12</v>
      </c>
      <c r="H46" s="23">
        <f t="shared" si="1"/>
        <v>40</v>
      </c>
      <c r="I46" s="23">
        <f t="shared" si="2"/>
        <v>100</v>
      </c>
      <c r="K46" s="1"/>
      <c r="L46" s="1"/>
      <c r="M46" s="4"/>
    </row>
    <row r="47" spans="1:16">
      <c r="A47">
        <f t="shared" si="3"/>
        <v>40</v>
      </c>
      <c r="B47">
        <v>1</v>
      </c>
      <c r="C47" s="17">
        <v>0</v>
      </c>
      <c r="D47" s="1">
        <f t="shared" si="0"/>
        <v>0</v>
      </c>
      <c r="E47" s="21">
        <f t="shared" si="4"/>
        <v>77.701088977519902</v>
      </c>
      <c r="F47" s="1">
        <f>E46*G46</f>
        <v>10.672329009633447</v>
      </c>
      <c r="G47" s="6">
        <f t="shared" si="5"/>
        <v>0.12</v>
      </c>
      <c r="H47" s="23">
        <f t="shared" si="1"/>
        <v>40</v>
      </c>
      <c r="I47" s="23">
        <f t="shared" si="2"/>
        <v>100</v>
      </c>
      <c r="K47" s="1"/>
      <c r="L47" s="1"/>
      <c r="M47" s="4"/>
    </row>
    <row r="48" spans="1:16">
      <c r="A48">
        <f t="shared" si="3"/>
        <v>41</v>
      </c>
      <c r="B48">
        <v>1</v>
      </c>
      <c r="C48" s="17">
        <v>0</v>
      </c>
      <c r="D48" s="1">
        <f t="shared" si="0"/>
        <v>0</v>
      </c>
      <c r="E48" s="21">
        <f t="shared" si="4"/>
        <v>67.028759967886458</v>
      </c>
      <c r="F48" s="1">
        <f>E47*G47</f>
        <v>9.3241306773023886</v>
      </c>
      <c r="G48" s="6">
        <f t="shared" si="5"/>
        <v>0.12</v>
      </c>
      <c r="H48" s="23">
        <f t="shared" si="1"/>
        <v>40</v>
      </c>
      <c r="I48" s="23">
        <f t="shared" si="2"/>
        <v>100</v>
      </c>
      <c r="K48" s="1"/>
      <c r="L48" s="1"/>
      <c r="M48" s="4"/>
    </row>
    <row r="49" spans="1:16">
      <c r="A49">
        <f t="shared" si="3"/>
        <v>42</v>
      </c>
      <c r="B49">
        <v>1</v>
      </c>
      <c r="C49" s="17">
        <v>0</v>
      </c>
      <c r="D49" s="1">
        <f t="shared" si="0"/>
        <v>0</v>
      </c>
      <c r="E49" s="21">
        <f t="shared" si="4"/>
        <v>57.704629290584066</v>
      </c>
      <c r="F49" s="1">
        <f>E48*G48</f>
        <v>8.0434511961463748</v>
      </c>
      <c r="G49" s="6">
        <f t="shared" si="5"/>
        <v>0.12</v>
      </c>
      <c r="H49" s="23">
        <f t="shared" si="1"/>
        <v>40</v>
      </c>
      <c r="I49" s="23">
        <f t="shared" si="2"/>
        <v>100</v>
      </c>
      <c r="K49" s="1"/>
      <c r="L49" s="1"/>
      <c r="M49" s="4"/>
    </row>
    <row r="50" spans="1:16">
      <c r="A50">
        <f t="shared" si="3"/>
        <v>43</v>
      </c>
      <c r="B50">
        <v>1</v>
      </c>
      <c r="C50" s="17">
        <v>0</v>
      </c>
      <c r="D50" s="1">
        <f t="shared" si="0"/>
        <v>0</v>
      </c>
      <c r="E50" s="21">
        <f t="shared" si="4"/>
        <v>49.661178094437687</v>
      </c>
      <c r="F50" s="1">
        <f>E49*G49</f>
        <v>6.9245555148700877</v>
      </c>
      <c r="G50" s="6">
        <f t="shared" si="5"/>
        <v>0.12</v>
      </c>
      <c r="H50" s="23">
        <f t="shared" si="1"/>
        <v>40</v>
      </c>
      <c r="I50" s="23">
        <f t="shared" si="2"/>
        <v>100</v>
      </c>
      <c r="K50" s="1"/>
      <c r="L50" s="1"/>
      <c r="M50" s="4"/>
    </row>
    <row r="51" spans="1:16">
      <c r="A51">
        <f t="shared" si="3"/>
        <v>44</v>
      </c>
      <c r="B51">
        <v>1</v>
      </c>
      <c r="C51" s="17">
        <v>1</v>
      </c>
      <c r="D51" s="1">
        <f t="shared" si="0"/>
        <v>360</v>
      </c>
      <c r="E51" s="21">
        <f t="shared" si="4"/>
        <v>42.736622579567602</v>
      </c>
      <c r="F51" s="1">
        <f>E50*G50</f>
        <v>5.9593413713325223</v>
      </c>
      <c r="G51" s="6">
        <f t="shared" si="5"/>
        <v>0.12</v>
      </c>
      <c r="H51" s="23">
        <f t="shared" si="1"/>
        <v>40</v>
      </c>
      <c r="I51" s="23">
        <f t="shared" si="2"/>
        <v>100</v>
      </c>
      <c r="K51" s="1"/>
      <c r="L51" s="1"/>
      <c r="M51" s="4"/>
    </row>
    <row r="52" spans="1:16">
      <c r="A52">
        <f t="shared" si="3"/>
        <v>45</v>
      </c>
      <c r="B52">
        <v>1</v>
      </c>
      <c r="C52" s="17">
        <v>0</v>
      </c>
      <c r="D52" s="1">
        <f t="shared" si="0"/>
        <v>0</v>
      </c>
      <c r="E52" s="21">
        <f t="shared" si="4"/>
        <v>96.777281208235081</v>
      </c>
      <c r="F52" s="1">
        <f>E51*G51</f>
        <v>5.1283947095481119</v>
      </c>
      <c r="G52" s="6">
        <f t="shared" si="5"/>
        <v>0.12</v>
      </c>
      <c r="H52" s="23">
        <f t="shared" si="1"/>
        <v>40</v>
      </c>
      <c r="I52" s="23">
        <f t="shared" si="2"/>
        <v>100</v>
      </c>
      <c r="K52" s="1"/>
      <c r="L52" s="1"/>
      <c r="M52" s="4"/>
      <c r="P52" t="s">
        <v>13</v>
      </c>
    </row>
    <row r="53" spans="1:16">
      <c r="A53">
        <f t="shared" si="3"/>
        <v>46</v>
      </c>
      <c r="B53">
        <v>1</v>
      </c>
      <c r="C53" s="17">
        <v>0</v>
      </c>
      <c r="D53" s="1">
        <f t="shared" si="0"/>
        <v>0</v>
      </c>
      <c r="E53" s="21">
        <f t="shared" si="4"/>
        <v>91.648886498686963</v>
      </c>
      <c r="F53" s="1">
        <f>E52*G52</f>
        <v>11.613273744988209</v>
      </c>
      <c r="G53" s="6">
        <f t="shared" si="5"/>
        <v>0.12</v>
      </c>
      <c r="H53" s="23">
        <f t="shared" si="1"/>
        <v>40</v>
      </c>
      <c r="I53" s="23">
        <f t="shared" si="2"/>
        <v>100</v>
      </c>
      <c r="K53" s="1"/>
      <c r="L53" s="1"/>
      <c r="M53" s="4"/>
    </row>
    <row r="54" spans="1:16">
      <c r="A54">
        <f t="shared" si="3"/>
        <v>47</v>
      </c>
      <c r="B54">
        <v>1</v>
      </c>
      <c r="C54" s="17">
        <v>0</v>
      </c>
      <c r="D54" s="1">
        <f t="shared" si="0"/>
        <v>0</v>
      </c>
      <c r="E54" s="21">
        <f t="shared" si="4"/>
        <v>80.035612753698757</v>
      </c>
      <c r="F54" s="1">
        <f>E53*G53</f>
        <v>10.997866379842435</v>
      </c>
      <c r="G54" s="6">
        <f t="shared" si="5"/>
        <v>0.12</v>
      </c>
      <c r="H54" s="23">
        <f t="shared" si="1"/>
        <v>40</v>
      </c>
      <c r="I54" s="23">
        <f t="shared" si="2"/>
        <v>100</v>
      </c>
      <c r="K54" s="1"/>
      <c r="L54" s="1"/>
      <c r="M54" s="4"/>
    </row>
    <row r="55" spans="1:16">
      <c r="A55" s="7">
        <f t="shared" si="3"/>
        <v>48</v>
      </c>
      <c r="B55" s="7">
        <v>1</v>
      </c>
      <c r="C55" s="17">
        <v>0</v>
      </c>
      <c r="D55" s="1">
        <f t="shared" si="0"/>
        <v>0</v>
      </c>
      <c r="E55" s="21">
        <f t="shared" si="4"/>
        <v>69.037746373856322</v>
      </c>
      <c r="F55" s="8">
        <f>E54*G54</f>
        <v>9.6042735304438498</v>
      </c>
      <c r="G55" s="9">
        <f t="shared" si="5"/>
        <v>0.12</v>
      </c>
      <c r="H55" s="23">
        <f t="shared" si="1"/>
        <v>40</v>
      </c>
      <c r="I55" s="23">
        <f t="shared" si="2"/>
        <v>100</v>
      </c>
      <c r="K55" s="1"/>
      <c r="L55" s="1"/>
      <c r="M55" s="4"/>
    </row>
    <row r="56" spans="1:16">
      <c r="A56">
        <f t="shared" si="3"/>
        <v>49</v>
      </c>
      <c r="B56">
        <v>1</v>
      </c>
      <c r="C56" s="17">
        <v>0</v>
      </c>
      <c r="D56" s="1">
        <f t="shared" si="0"/>
        <v>0</v>
      </c>
      <c r="E56" s="21">
        <f t="shared" si="4"/>
        <v>59.433472843412474</v>
      </c>
      <c r="F56" s="1">
        <f>E55*G55</f>
        <v>8.2845295648627584</v>
      </c>
      <c r="G56" s="6">
        <f t="shared" si="5"/>
        <v>0.12</v>
      </c>
      <c r="H56" s="23">
        <f t="shared" si="1"/>
        <v>40</v>
      </c>
      <c r="I56" s="23">
        <f t="shared" si="2"/>
        <v>100</v>
      </c>
      <c r="K56" s="1"/>
      <c r="L56" s="1"/>
      <c r="M56" s="4"/>
    </row>
    <row r="57" spans="1:16">
      <c r="A57">
        <f t="shared" si="3"/>
        <v>50</v>
      </c>
      <c r="B57">
        <v>1</v>
      </c>
      <c r="C57" s="17">
        <v>0</v>
      </c>
      <c r="D57" s="1">
        <f t="shared" si="0"/>
        <v>0</v>
      </c>
      <c r="E57" s="21">
        <f t="shared" si="4"/>
        <v>51.148943278549716</v>
      </c>
      <c r="F57" s="1">
        <f>E56*G56</f>
        <v>7.1320167412094966</v>
      </c>
      <c r="G57" s="6">
        <f t="shared" si="5"/>
        <v>0.12</v>
      </c>
      <c r="H57" s="23">
        <f t="shared" si="1"/>
        <v>40</v>
      </c>
      <c r="I57" s="23">
        <f t="shared" si="2"/>
        <v>100</v>
      </c>
      <c r="K57" s="1"/>
      <c r="L57" s="1"/>
      <c r="M57" s="4"/>
    </row>
    <row r="58" spans="1:16">
      <c r="A58">
        <f t="shared" ref="A58:A107" si="6">A57+B57</f>
        <v>51</v>
      </c>
      <c r="B58">
        <v>1</v>
      </c>
      <c r="C58" s="17">
        <v>0</v>
      </c>
      <c r="D58" s="1">
        <f t="shared" si="0"/>
        <v>0</v>
      </c>
      <c r="E58" s="21">
        <f t="shared" si="4"/>
        <v>44.016926537340218</v>
      </c>
      <c r="F58" s="1">
        <f>E57*G57</f>
        <v>6.1378731934259658</v>
      </c>
      <c r="G58" s="6">
        <f t="shared" ref="G58:G107" si="7">G57</f>
        <v>0.12</v>
      </c>
      <c r="H58" s="23">
        <f t="shared" si="1"/>
        <v>40</v>
      </c>
      <c r="I58" s="23">
        <f t="shared" si="2"/>
        <v>100</v>
      </c>
      <c r="K58" s="1"/>
      <c r="L58" s="1"/>
      <c r="M58" s="4"/>
    </row>
    <row r="59" spans="1:16">
      <c r="A59">
        <f t="shared" si="6"/>
        <v>52</v>
      </c>
      <c r="B59">
        <v>1</v>
      </c>
      <c r="C59" s="17">
        <v>0</v>
      </c>
      <c r="D59" s="1">
        <f t="shared" si="0"/>
        <v>0</v>
      </c>
      <c r="E59" s="21">
        <f t="shared" si="4"/>
        <v>37.879053343914251</v>
      </c>
      <c r="F59" s="1">
        <f>E58*G58</f>
        <v>5.2820311844808261</v>
      </c>
      <c r="G59" s="6">
        <f t="shared" si="7"/>
        <v>0.12</v>
      </c>
      <c r="H59" s="23">
        <f t="shared" si="1"/>
        <v>40</v>
      </c>
      <c r="I59" s="23">
        <f t="shared" si="2"/>
        <v>100</v>
      </c>
      <c r="K59" s="1"/>
      <c r="L59" s="1"/>
      <c r="M59" s="4"/>
    </row>
    <row r="60" spans="1:16">
      <c r="A60">
        <f t="shared" si="6"/>
        <v>53</v>
      </c>
      <c r="B60">
        <v>1</v>
      </c>
      <c r="C60" s="17">
        <v>0</v>
      </c>
      <c r="D60" s="1">
        <f t="shared" si="0"/>
        <v>0</v>
      </c>
      <c r="E60" s="21">
        <f t="shared" si="4"/>
        <v>32.597022159433422</v>
      </c>
      <c r="F60" s="1">
        <f>E59*G59</f>
        <v>4.5454864012697103</v>
      </c>
      <c r="G60" s="6">
        <f t="shared" si="7"/>
        <v>0.12</v>
      </c>
      <c r="H60" s="23">
        <f t="shared" si="1"/>
        <v>40</v>
      </c>
      <c r="I60" s="23">
        <f t="shared" si="2"/>
        <v>100</v>
      </c>
      <c r="K60" s="1"/>
      <c r="L60" s="1"/>
      <c r="M60" s="4"/>
    </row>
    <row r="61" spans="1:16">
      <c r="A61">
        <f t="shared" si="6"/>
        <v>54</v>
      </c>
      <c r="B61">
        <v>1</v>
      </c>
      <c r="C61" s="17">
        <v>1</v>
      </c>
      <c r="D61" s="1">
        <f t="shared" si="0"/>
        <v>360</v>
      </c>
      <c r="E61" s="21">
        <f t="shared" si="4"/>
        <v>28.051535758163713</v>
      </c>
      <c r="F61" s="1">
        <f>E60*G60</f>
        <v>3.9116426591320104</v>
      </c>
      <c r="G61" s="6">
        <f t="shared" si="7"/>
        <v>0.12</v>
      </c>
      <c r="H61" s="23">
        <f t="shared" si="1"/>
        <v>40</v>
      </c>
      <c r="I61" s="23">
        <f t="shared" si="2"/>
        <v>100</v>
      </c>
      <c r="K61" s="1"/>
      <c r="L61" s="1"/>
      <c r="M61" s="4"/>
    </row>
    <row r="62" spans="1:16">
      <c r="A62">
        <f t="shared" si="6"/>
        <v>55</v>
      </c>
      <c r="B62">
        <v>1</v>
      </c>
      <c r="C62" s="17">
        <v>0</v>
      </c>
      <c r="D62" s="1">
        <f t="shared" si="0"/>
        <v>0</v>
      </c>
      <c r="E62" s="21">
        <f t="shared" si="4"/>
        <v>84.139893099031696</v>
      </c>
      <c r="F62" s="1">
        <f>E61*G61</f>
        <v>3.3661842909796453</v>
      </c>
      <c r="G62" s="6">
        <f t="shared" si="7"/>
        <v>0.12</v>
      </c>
      <c r="H62" s="23">
        <f t="shared" si="1"/>
        <v>40</v>
      </c>
      <c r="I62" s="23">
        <f t="shared" si="2"/>
        <v>100</v>
      </c>
      <c r="K62" s="1"/>
      <c r="L62" s="1"/>
      <c r="M62" s="4"/>
    </row>
    <row r="63" spans="1:16">
      <c r="A63">
        <f t="shared" si="6"/>
        <v>56</v>
      </c>
      <c r="B63">
        <v>1</v>
      </c>
      <c r="C63" s="17">
        <v>0</v>
      </c>
      <c r="D63" s="1">
        <f t="shared" si="0"/>
        <v>0</v>
      </c>
      <c r="E63" s="21">
        <f t="shared" si="4"/>
        <v>80.773708808052049</v>
      </c>
      <c r="F63" s="1">
        <f>E62*G62</f>
        <v>10.096787171883802</v>
      </c>
      <c r="G63" s="6">
        <f t="shared" si="7"/>
        <v>0.12</v>
      </c>
      <c r="H63" s="23">
        <f t="shared" si="1"/>
        <v>40</v>
      </c>
      <c r="I63" s="23">
        <f t="shared" si="2"/>
        <v>100</v>
      </c>
      <c r="K63" s="1"/>
      <c r="L63" s="1"/>
      <c r="M63" s="4"/>
    </row>
    <row r="64" spans="1:16">
      <c r="A64">
        <f t="shared" si="6"/>
        <v>57</v>
      </c>
      <c r="B64">
        <v>1</v>
      </c>
      <c r="C64" s="17">
        <v>0</v>
      </c>
      <c r="D64" s="1">
        <f t="shared" si="0"/>
        <v>0</v>
      </c>
      <c r="E64" s="21">
        <f t="shared" si="4"/>
        <v>70.676921636168245</v>
      </c>
      <c r="F64" s="1">
        <f>E63*G63</f>
        <v>9.6928450569662452</v>
      </c>
      <c r="G64" s="6">
        <f t="shared" si="7"/>
        <v>0.12</v>
      </c>
      <c r="H64" s="23">
        <f t="shared" si="1"/>
        <v>40</v>
      </c>
      <c r="I64" s="23">
        <f t="shared" si="2"/>
        <v>100</v>
      </c>
    </row>
    <row r="65" spans="1:12">
      <c r="A65">
        <f t="shared" si="6"/>
        <v>58</v>
      </c>
      <c r="B65">
        <v>1</v>
      </c>
      <c r="C65" s="17">
        <v>0</v>
      </c>
      <c r="D65" s="1">
        <f t="shared" si="0"/>
        <v>0</v>
      </c>
      <c r="E65" s="21">
        <f t="shared" si="4"/>
        <v>60.984076579201997</v>
      </c>
      <c r="F65" s="1">
        <f>E64*G64</f>
        <v>8.4812305963401897</v>
      </c>
      <c r="G65" s="6">
        <f t="shared" si="7"/>
        <v>0.12</v>
      </c>
      <c r="H65" s="23">
        <f t="shared" si="1"/>
        <v>40</v>
      </c>
      <c r="I65" s="23">
        <f t="shared" si="2"/>
        <v>100</v>
      </c>
    </row>
    <row r="66" spans="1:12">
      <c r="A66">
        <f t="shared" si="6"/>
        <v>59</v>
      </c>
      <c r="B66">
        <v>1</v>
      </c>
      <c r="C66" s="17">
        <v>0</v>
      </c>
      <c r="D66" s="1">
        <f t="shared" si="0"/>
        <v>0</v>
      </c>
      <c r="E66" s="21">
        <f t="shared" si="4"/>
        <v>52.502845982861807</v>
      </c>
      <c r="F66" s="1">
        <f>E65*G65</f>
        <v>7.3180891895042395</v>
      </c>
      <c r="G66" s="6">
        <f t="shared" si="7"/>
        <v>0.12</v>
      </c>
      <c r="H66" s="23">
        <f t="shared" si="1"/>
        <v>40</v>
      </c>
      <c r="I66" s="23">
        <f t="shared" si="2"/>
        <v>100</v>
      </c>
    </row>
    <row r="67" spans="1:12">
      <c r="A67">
        <f t="shared" si="6"/>
        <v>60</v>
      </c>
      <c r="B67">
        <v>1</v>
      </c>
      <c r="C67" s="17">
        <v>0</v>
      </c>
      <c r="D67" s="1">
        <f t="shared" si="0"/>
        <v>0</v>
      </c>
      <c r="E67" s="21">
        <f t="shared" si="4"/>
        <v>45.184756793357565</v>
      </c>
      <c r="F67" s="1">
        <f>E66*G66</f>
        <v>6.3003415179434166</v>
      </c>
      <c r="G67" s="6">
        <f t="shared" si="7"/>
        <v>0.12</v>
      </c>
      <c r="H67" s="23">
        <f t="shared" si="1"/>
        <v>40</v>
      </c>
      <c r="I67" s="23">
        <f t="shared" si="2"/>
        <v>100</v>
      </c>
    </row>
    <row r="68" spans="1:12">
      <c r="A68">
        <f t="shared" si="6"/>
        <v>61</v>
      </c>
      <c r="B68">
        <v>1</v>
      </c>
      <c r="C68" s="17">
        <v>1</v>
      </c>
      <c r="D68" s="1">
        <f t="shared" si="0"/>
        <v>360</v>
      </c>
      <c r="E68" s="21">
        <f t="shared" si="4"/>
        <v>38.884415275414149</v>
      </c>
      <c r="F68" s="1">
        <f>E67*G67</f>
        <v>5.4221708152029073</v>
      </c>
      <c r="G68" s="6">
        <f t="shared" si="7"/>
        <v>0.12</v>
      </c>
      <c r="H68" s="23">
        <f t="shared" si="1"/>
        <v>40</v>
      </c>
      <c r="I68" s="23">
        <f t="shared" si="2"/>
        <v>100</v>
      </c>
    </row>
    <row r="69" spans="1:12">
      <c r="A69">
        <f t="shared" si="6"/>
        <v>62</v>
      </c>
      <c r="B69">
        <v>1</v>
      </c>
      <c r="C69" s="17">
        <v>0</v>
      </c>
      <c r="D69" s="1">
        <f t="shared" si="0"/>
        <v>0</v>
      </c>
      <c r="E69" s="21">
        <f t="shared" si="4"/>
        <v>93.462244460211252</v>
      </c>
      <c r="F69" s="1">
        <f>E68*G68</f>
        <v>4.6661298330496974</v>
      </c>
      <c r="G69" s="6">
        <f t="shared" si="7"/>
        <v>0.12</v>
      </c>
      <c r="H69" s="23">
        <f t="shared" si="1"/>
        <v>40</v>
      </c>
      <c r="I69" s="23">
        <f t="shared" si="2"/>
        <v>100</v>
      </c>
    </row>
    <row r="70" spans="1:12">
      <c r="A70">
        <f t="shared" si="6"/>
        <v>63</v>
      </c>
      <c r="B70">
        <v>1</v>
      </c>
      <c r="C70" s="17">
        <v>0</v>
      </c>
      <c r="D70" s="1">
        <f t="shared" si="0"/>
        <v>0</v>
      </c>
      <c r="E70" s="21">
        <f t="shared" si="4"/>
        <v>88.796114627161558</v>
      </c>
      <c r="F70" s="1">
        <f>E69*G69</f>
        <v>11.21546933522535</v>
      </c>
      <c r="G70" s="6">
        <f t="shared" si="7"/>
        <v>0.12</v>
      </c>
      <c r="H70" s="23">
        <f t="shared" si="1"/>
        <v>40</v>
      </c>
      <c r="I70" s="23">
        <f t="shared" si="2"/>
        <v>100</v>
      </c>
    </row>
    <row r="71" spans="1:12">
      <c r="A71">
        <f t="shared" si="6"/>
        <v>64</v>
      </c>
      <c r="B71">
        <v>1</v>
      </c>
      <c r="C71" s="17">
        <v>0</v>
      </c>
      <c r="D71" s="1">
        <f t="shared" si="0"/>
        <v>0</v>
      </c>
      <c r="E71" s="21">
        <f t="shared" si="4"/>
        <v>77.580645291936207</v>
      </c>
      <c r="F71" s="1">
        <f>E70*G70</f>
        <v>10.655533755259386</v>
      </c>
      <c r="G71" s="6">
        <f t="shared" si="7"/>
        <v>0.12</v>
      </c>
      <c r="H71" s="23">
        <f t="shared" si="1"/>
        <v>40</v>
      </c>
      <c r="I71" s="23">
        <f t="shared" si="2"/>
        <v>100</v>
      </c>
    </row>
    <row r="72" spans="1:12">
      <c r="A72">
        <f t="shared" si="6"/>
        <v>65</v>
      </c>
      <c r="B72">
        <v>1</v>
      </c>
      <c r="C72" s="17">
        <v>0</v>
      </c>
      <c r="D72" s="1">
        <f t="shared" ref="D72:D117" si="8">IF(C72=1,$G$2,0)</f>
        <v>0</v>
      </c>
      <c r="E72" s="21">
        <f t="shared" si="4"/>
        <v>66.925111536676823</v>
      </c>
      <c r="F72" s="1">
        <f>E71*G71</f>
        <v>9.309677435032345</v>
      </c>
      <c r="G72" s="6">
        <f t="shared" si="7"/>
        <v>0.12</v>
      </c>
      <c r="H72" s="23">
        <f t="shared" ref="H72:H117" si="9">$J$1</f>
        <v>40</v>
      </c>
      <c r="I72" s="23">
        <f t="shared" ref="I72:I117" si="10">$J$2</f>
        <v>100</v>
      </c>
    </row>
    <row r="73" spans="1:12">
      <c r="A73">
        <f t="shared" si="6"/>
        <v>66</v>
      </c>
      <c r="B73">
        <v>1</v>
      </c>
      <c r="C73" s="17">
        <v>0</v>
      </c>
      <c r="D73" s="1">
        <f t="shared" si="8"/>
        <v>0</v>
      </c>
      <c r="E73" s="21">
        <f t="shared" ref="E73:E117" si="11">E72+(D72/$G$1-F72)*B72</f>
        <v>57.615434101644482</v>
      </c>
      <c r="F73" s="1">
        <f>E72*G72</f>
        <v>8.0310133844012181</v>
      </c>
      <c r="G73" s="6">
        <f t="shared" si="7"/>
        <v>0.12</v>
      </c>
      <c r="H73" s="23">
        <f t="shared" si="9"/>
        <v>40</v>
      </c>
      <c r="I73" s="23">
        <f t="shared" si="10"/>
        <v>100</v>
      </c>
    </row>
    <row r="74" spans="1:12">
      <c r="A74">
        <f t="shared" si="6"/>
        <v>67</v>
      </c>
      <c r="B74">
        <v>1</v>
      </c>
      <c r="C74" s="17">
        <v>0</v>
      </c>
      <c r="D74" s="1">
        <f t="shared" si="8"/>
        <v>0</v>
      </c>
      <c r="E74" s="21">
        <f t="shared" si="11"/>
        <v>49.584420717243262</v>
      </c>
      <c r="F74" s="1">
        <f>E73*G73</f>
        <v>6.9138520921973372</v>
      </c>
      <c r="G74" s="6">
        <f t="shared" si="7"/>
        <v>0.12</v>
      </c>
      <c r="H74" s="23">
        <f t="shared" si="9"/>
        <v>40</v>
      </c>
      <c r="I74" s="23">
        <f t="shared" si="10"/>
        <v>100</v>
      </c>
    </row>
    <row r="75" spans="1:12">
      <c r="A75">
        <f t="shared" si="6"/>
        <v>68</v>
      </c>
      <c r="B75">
        <v>1</v>
      </c>
      <c r="C75" s="17">
        <v>1</v>
      </c>
      <c r="D75" s="1">
        <f t="shared" si="8"/>
        <v>360</v>
      </c>
      <c r="E75" s="21">
        <f t="shared" si="11"/>
        <v>42.670568625045924</v>
      </c>
      <c r="F75" s="1">
        <f>E74*G74</f>
        <v>5.9501304860691908</v>
      </c>
      <c r="G75" s="6">
        <f t="shared" si="7"/>
        <v>0.12</v>
      </c>
      <c r="H75" s="23">
        <f t="shared" si="9"/>
        <v>40</v>
      </c>
      <c r="I75" s="23">
        <f t="shared" si="10"/>
        <v>100</v>
      </c>
    </row>
    <row r="76" spans="1:12">
      <c r="A76">
        <f t="shared" si="6"/>
        <v>69</v>
      </c>
      <c r="B76">
        <v>1</v>
      </c>
      <c r="C76" s="17">
        <v>0</v>
      </c>
      <c r="D76" s="1">
        <f t="shared" si="8"/>
        <v>0</v>
      </c>
      <c r="E76" s="21">
        <f t="shared" si="11"/>
        <v>96.720438138976732</v>
      </c>
      <c r="F76" s="1">
        <f>E75*G75</f>
        <v>5.1204682350055108</v>
      </c>
      <c r="G76" s="6">
        <f t="shared" si="7"/>
        <v>0.12</v>
      </c>
      <c r="H76" s="23">
        <f t="shared" si="9"/>
        <v>40</v>
      </c>
      <c r="I76" s="23">
        <f t="shared" si="10"/>
        <v>100</v>
      </c>
    </row>
    <row r="77" spans="1:12">
      <c r="A77">
        <f t="shared" si="6"/>
        <v>70</v>
      </c>
      <c r="B77">
        <v>1</v>
      </c>
      <c r="C77" s="17">
        <v>0</v>
      </c>
      <c r="D77" s="1">
        <f t="shared" si="8"/>
        <v>0</v>
      </c>
      <c r="E77" s="21">
        <f t="shared" si="11"/>
        <v>91.599969903971214</v>
      </c>
      <c r="F77" s="1">
        <f>E76*G76</f>
        <v>11.606452576677208</v>
      </c>
      <c r="G77" s="6">
        <f t="shared" si="7"/>
        <v>0.12</v>
      </c>
      <c r="H77" s="23">
        <f t="shared" si="9"/>
        <v>40</v>
      </c>
      <c r="I77" s="23">
        <f t="shared" si="10"/>
        <v>100</v>
      </c>
    </row>
    <row r="78" spans="1:12">
      <c r="A78">
        <f t="shared" si="6"/>
        <v>71</v>
      </c>
      <c r="B78">
        <v>1</v>
      </c>
      <c r="C78" s="17">
        <v>0</v>
      </c>
      <c r="D78" s="1">
        <f t="shared" si="8"/>
        <v>0</v>
      </c>
      <c r="E78" s="21">
        <f t="shared" si="11"/>
        <v>79.993517327294001</v>
      </c>
      <c r="F78" s="1">
        <f>E77*G77</f>
        <v>10.991996388476545</v>
      </c>
      <c r="G78" s="6">
        <f t="shared" si="7"/>
        <v>0.12</v>
      </c>
      <c r="H78" s="23">
        <f t="shared" si="9"/>
        <v>40</v>
      </c>
      <c r="I78" s="23">
        <f t="shared" si="10"/>
        <v>100</v>
      </c>
    </row>
    <row r="79" spans="1:12">
      <c r="A79" s="7">
        <f t="shared" si="6"/>
        <v>72</v>
      </c>
      <c r="B79" s="7">
        <v>1</v>
      </c>
      <c r="C79" s="17">
        <v>0</v>
      </c>
      <c r="D79" s="1">
        <f t="shared" si="8"/>
        <v>0</v>
      </c>
      <c r="E79" s="21">
        <f t="shared" si="11"/>
        <v>69.00152093881745</v>
      </c>
      <c r="F79" s="8">
        <f>E78*G78</f>
        <v>9.5992220792752789</v>
      </c>
      <c r="G79" s="9">
        <f t="shared" si="7"/>
        <v>0.12</v>
      </c>
      <c r="H79" s="23">
        <f t="shared" si="9"/>
        <v>40</v>
      </c>
      <c r="I79" s="23">
        <f t="shared" si="10"/>
        <v>100</v>
      </c>
    </row>
    <row r="80" spans="1:12">
      <c r="A80">
        <f t="shared" si="6"/>
        <v>73</v>
      </c>
      <c r="B80">
        <v>1</v>
      </c>
      <c r="C80" s="17">
        <v>0</v>
      </c>
      <c r="D80" s="1">
        <f t="shared" si="8"/>
        <v>0</v>
      </c>
      <c r="E80" s="21">
        <f t="shared" si="11"/>
        <v>59.402298859542171</v>
      </c>
      <c r="F80" s="1">
        <f>E79*G79</f>
        <v>8.2801825126580937</v>
      </c>
      <c r="G80" s="6">
        <f t="shared" si="7"/>
        <v>0.12</v>
      </c>
      <c r="H80" s="23">
        <f t="shared" si="9"/>
        <v>40</v>
      </c>
      <c r="I80" s="23">
        <f t="shared" si="10"/>
        <v>100</v>
      </c>
      <c r="L80" t="s">
        <v>13</v>
      </c>
    </row>
    <row r="81" spans="1:9">
      <c r="A81">
        <f t="shared" si="6"/>
        <v>74</v>
      </c>
      <c r="B81">
        <v>1</v>
      </c>
      <c r="C81" s="17">
        <v>0</v>
      </c>
      <c r="D81" s="1">
        <f t="shared" si="8"/>
        <v>0</v>
      </c>
      <c r="E81" s="21">
        <f t="shared" si="11"/>
        <v>51.122116346884077</v>
      </c>
      <c r="F81" s="1">
        <f>E80*G80</f>
        <v>7.1282758631450607</v>
      </c>
      <c r="G81" s="6">
        <f t="shared" si="7"/>
        <v>0.12</v>
      </c>
      <c r="H81" s="23">
        <f t="shared" si="9"/>
        <v>40</v>
      </c>
      <c r="I81" s="23">
        <f t="shared" si="10"/>
        <v>100</v>
      </c>
    </row>
    <row r="82" spans="1:9">
      <c r="A82">
        <f t="shared" si="6"/>
        <v>75</v>
      </c>
      <c r="B82">
        <v>1</v>
      </c>
      <c r="C82" s="17">
        <v>0</v>
      </c>
      <c r="D82" s="1">
        <f t="shared" si="8"/>
        <v>0</v>
      </c>
      <c r="E82" s="21">
        <f t="shared" si="11"/>
        <v>43.993840483739014</v>
      </c>
      <c r="F82" s="1">
        <f>E81*G81</f>
        <v>6.1346539616260891</v>
      </c>
      <c r="G82" s="6">
        <f t="shared" si="7"/>
        <v>0.12</v>
      </c>
      <c r="H82" s="23">
        <f t="shared" si="9"/>
        <v>40</v>
      </c>
      <c r="I82" s="23">
        <f t="shared" si="10"/>
        <v>100</v>
      </c>
    </row>
    <row r="83" spans="1:9">
      <c r="A83">
        <f t="shared" si="6"/>
        <v>76</v>
      </c>
      <c r="B83">
        <v>1</v>
      </c>
      <c r="C83" s="17">
        <v>0</v>
      </c>
      <c r="D83" s="1">
        <f t="shared" si="8"/>
        <v>0</v>
      </c>
      <c r="E83" s="21">
        <f t="shared" si="11"/>
        <v>37.859186522112921</v>
      </c>
      <c r="F83" s="1">
        <f>E82*G82</f>
        <v>5.2792608580486817</v>
      </c>
      <c r="G83" s="6">
        <f t="shared" si="7"/>
        <v>0.12</v>
      </c>
      <c r="H83" s="23">
        <f t="shared" si="9"/>
        <v>40</v>
      </c>
      <c r="I83" s="23">
        <f t="shared" si="10"/>
        <v>100</v>
      </c>
    </row>
    <row r="84" spans="1:9">
      <c r="A84">
        <f t="shared" si="6"/>
        <v>77</v>
      </c>
      <c r="B84">
        <v>1</v>
      </c>
      <c r="C84" s="17">
        <v>0</v>
      </c>
      <c r="D84" s="1">
        <f t="shared" si="8"/>
        <v>0</v>
      </c>
      <c r="E84" s="21">
        <f t="shared" si="11"/>
        <v>32.579925664064241</v>
      </c>
      <c r="F84" s="1">
        <f>E83*G83</f>
        <v>4.5431023826535499</v>
      </c>
      <c r="G84" s="6">
        <f t="shared" si="7"/>
        <v>0.12</v>
      </c>
      <c r="H84" s="23">
        <f t="shared" si="9"/>
        <v>40</v>
      </c>
      <c r="I84" s="23">
        <f t="shared" si="10"/>
        <v>100</v>
      </c>
    </row>
    <row r="85" spans="1:9">
      <c r="A85">
        <f t="shared" si="6"/>
        <v>78</v>
      </c>
      <c r="B85">
        <v>1</v>
      </c>
      <c r="C85" s="17">
        <v>1</v>
      </c>
      <c r="D85" s="1">
        <f t="shared" si="8"/>
        <v>360</v>
      </c>
      <c r="E85" s="21">
        <f t="shared" si="11"/>
        <v>28.03682328141069</v>
      </c>
      <c r="F85" s="1">
        <f>E84*G84</f>
        <v>3.9095910796877087</v>
      </c>
      <c r="G85" s="6">
        <f t="shared" si="7"/>
        <v>0.12</v>
      </c>
      <c r="H85" s="23">
        <f t="shared" si="9"/>
        <v>40</v>
      </c>
      <c r="I85" s="23">
        <f t="shared" si="10"/>
        <v>100</v>
      </c>
    </row>
    <row r="86" spans="1:9">
      <c r="A86">
        <f t="shared" si="6"/>
        <v>79</v>
      </c>
      <c r="B86">
        <v>1</v>
      </c>
      <c r="C86" s="17">
        <v>0</v>
      </c>
      <c r="D86" s="1">
        <f t="shared" si="8"/>
        <v>0</v>
      </c>
      <c r="E86" s="21">
        <f t="shared" si="11"/>
        <v>84.12723220172299</v>
      </c>
      <c r="F86" s="1">
        <f>E85*G85</f>
        <v>3.3644187937692829</v>
      </c>
      <c r="G86" s="6">
        <f t="shared" si="7"/>
        <v>0.12</v>
      </c>
      <c r="H86" s="23">
        <f t="shared" si="9"/>
        <v>40</v>
      </c>
      <c r="I86" s="23">
        <f t="shared" si="10"/>
        <v>100</v>
      </c>
    </row>
    <row r="87" spans="1:9">
      <c r="A87">
        <f t="shared" si="6"/>
        <v>80</v>
      </c>
      <c r="B87">
        <v>1</v>
      </c>
      <c r="C87" s="17">
        <v>0</v>
      </c>
      <c r="D87" s="1">
        <f t="shared" si="8"/>
        <v>0</v>
      </c>
      <c r="E87" s="21">
        <f t="shared" si="11"/>
        <v>80.762813407953701</v>
      </c>
      <c r="F87" s="1">
        <f>E86*G86</f>
        <v>10.095267864206759</v>
      </c>
      <c r="G87" s="6">
        <f t="shared" si="7"/>
        <v>0.12</v>
      </c>
      <c r="H87" s="23">
        <f t="shared" si="9"/>
        <v>40</v>
      </c>
      <c r="I87" s="23">
        <f t="shared" si="10"/>
        <v>100</v>
      </c>
    </row>
    <row r="88" spans="1:9">
      <c r="A88">
        <f t="shared" si="6"/>
        <v>81</v>
      </c>
      <c r="B88">
        <v>1</v>
      </c>
      <c r="C88" s="17">
        <v>0</v>
      </c>
      <c r="D88" s="1">
        <f t="shared" si="8"/>
        <v>0</v>
      </c>
      <c r="E88" s="21">
        <f t="shared" si="11"/>
        <v>70.66754554374694</v>
      </c>
      <c r="F88" s="1">
        <f>E87*G87</f>
        <v>9.6915376089544445</v>
      </c>
      <c r="G88" s="6">
        <f t="shared" si="7"/>
        <v>0.12</v>
      </c>
      <c r="H88" s="23">
        <f t="shared" si="9"/>
        <v>40</v>
      </c>
      <c r="I88" s="23">
        <f t="shared" si="10"/>
        <v>100</v>
      </c>
    </row>
    <row r="89" spans="1:9">
      <c r="A89">
        <f t="shared" si="6"/>
        <v>82</v>
      </c>
      <c r="B89">
        <v>1</v>
      </c>
      <c r="C89" s="17">
        <v>0</v>
      </c>
      <c r="D89" s="1">
        <f t="shared" si="8"/>
        <v>0</v>
      </c>
      <c r="E89" s="21">
        <f t="shared" si="11"/>
        <v>60.976007934792491</v>
      </c>
      <c r="F89" s="1">
        <f>E88*G88</f>
        <v>8.4801054652496326</v>
      </c>
      <c r="G89" s="6">
        <f t="shared" si="7"/>
        <v>0.12</v>
      </c>
      <c r="H89" s="23">
        <f t="shared" si="9"/>
        <v>40</v>
      </c>
      <c r="I89" s="23">
        <f t="shared" si="10"/>
        <v>100</v>
      </c>
    </row>
    <row r="90" spans="1:9">
      <c r="A90">
        <f t="shared" si="6"/>
        <v>83</v>
      </c>
      <c r="B90">
        <v>1</v>
      </c>
      <c r="C90" s="17">
        <v>0</v>
      </c>
      <c r="D90" s="1">
        <f t="shared" si="8"/>
        <v>0</v>
      </c>
      <c r="E90" s="21">
        <f t="shared" si="11"/>
        <v>52.495902469542855</v>
      </c>
      <c r="F90" s="1">
        <f>E89*G89</f>
        <v>7.3171209521750988</v>
      </c>
      <c r="G90" s="6">
        <f t="shared" si="7"/>
        <v>0.12</v>
      </c>
      <c r="H90" s="23">
        <f t="shared" si="9"/>
        <v>40</v>
      </c>
      <c r="I90" s="23">
        <f t="shared" si="10"/>
        <v>100</v>
      </c>
    </row>
    <row r="91" spans="1:9">
      <c r="A91">
        <f t="shared" si="6"/>
        <v>84</v>
      </c>
      <c r="B91">
        <v>1</v>
      </c>
      <c r="C91" s="17">
        <v>0</v>
      </c>
      <c r="D91" s="1">
        <f t="shared" si="8"/>
        <v>0</v>
      </c>
      <c r="E91" s="21">
        <f t="shared" si="11"/>
        <v>45.178781517367753</v>
      </c>
      <c r="F91" s="1">
        <f>E90*G90</f>
        <v>6.2995082963451425</v>
      </c>
      <c r="G91" s="6">
        <f t="shared" si="7"/>
        <v>0.12</v>
      </c>
      <c r="H91" s="23">
        <f t="shared" si="9"/>
        <v>40</v>
      </c>
      <c r="I91" s="23">
        <f t="shared" si="10"/>
        <v>100</v>
      </c>
    </row>
    <row r="92" spans="1:9">
      <c r="A92">
        <f t="shared" si="6"/>
        <v>85</v>
      </c>
      <c r="B92">
        <v>1</v>
      </c>
      <c r="C92" s="17">
        <v>1</v>
      </c>
      <c r="D92" s="1">
        <f t="shared" si="8"/>
        <v>360</v>
      </c>
      <c r="E92" s="21">
        <f t="shared" si="11"/>
        <v>38.879273221022608</v>
      </c>
      <c r="F92" s="1">
        <f>E91*G91</f>
        <v>5.4214537820841304</v>
      </c>
      <c r="G92" s="6">
        <f t="shared" si="7"/>
        <v>0.12</v>
      </c>
      <c r="H92" s="23">
        <f t="shared" si="9"/>
        <v>40</v>
      </c>
      <c r="I92" s="23">
        <f t="shared" si="10"/>
        <v>100</v>
      </c>
    </row>
    <row r="93" spans="1:9">
      <c r="A93">
        <f t="shared" si="6"/>
        <v>86</v>
      </c>
      <c r="B93">
        <v>1</v>
      </c>
      <c r="C93" s="17">
        <v>0</v>
      </c>
      <c r="D93" s="1">
        <f t="shared" si="8"/>
        <v>0</v>
      </c>
      <c r="E93" s="21">
        <f t="shared" si="11"/>
        <v>93.457819438938486</v>
      </c>
      <c r="F93" s="1">
        <f>E92*G92</f>
        <v>4.6655127865227124</v>
      </c>
      <c r="G93" s="6">
        <f t="shared" si="7"/>
        <v>0.12</v>
      </c>
      <c r="H93" s="23">
        <f t="shared" si="9"/>
        <v>40</v>
      </c>
      <c r="I93" s="23">
        <f t="shared" si="10"/>
        <v>100</v>
      </c>
    </row>
    <row r="94" spans="1:9">
      <c r="A94">
        <f t="shared" si="6"/>
        <v>87</v>
      </c>
      <c r="B94">
        <v>1</v>
      </c>
      <c r="C94" s="17">
        <v>0</v>
      </c>
      <c r="D94" s="1">
        <f t="shared" si="8"/>
        <v>0</v>
      </c>
      <c r="E94" s="21">
        <f t="shared" si="11"/>
        <v>88.792306652415775</v>
      </c>
      <c r="F94" s="1">
        <f>E93*G93</f>
        <v>11.214938332672618</v>
      </c>
      <c r="G94" s="6">
        <f t="shared" si="7"/>
        <v>0.12</v>
      </c>
      <c r="H94" s="23">
        <f t="shared" si="9"/>
        <v>40</v>
      </c>
      <c r="I94" s="23">
        <f t="shared" si="10"/>
        <v>100</v>
      </c>
    </row>
    <row r="95" spans="1:9">
      <c r="A95">
        <f t="shared" si="6"/>
        <v>88</v>
      </c>
      <c r="B95">
        <v>1</v>
      </c>
      <c r="C95" s="17">
        <v>0</v>
      </c>
      <c r="D95" s="1">
        <f t="shared" si="8"/>
        <v>0</v>
      </c>
      <c r="E95" s="21">
        <f t="shared" si="11"/>
        <v>77.577368319743158</v>
      </c>
      <c r="F95" s="1">
        <f>E94*G94</f>
        <v>10.655076798289892</v>
      </c>
      <c r="G95" s="6">
        <f t="shared" si="7"/>
        <v>0.12</v>
      </c>
      <c r="H95" s="23">
        <f t="shared" si="9"/>
        <v>40</v>
      </c>
      <c r="I95" s="23">
        <f t="shared" si="10"/>
        <v>100</v>
      </c>
    </row>
    <row r="96" spans="1:9">
      <c r="A96">
        <f t="shared" si="6"/>
        <v>89</v>
      </c>
      <c r="B96">
        <v>1</v>
      </c>
      <c r="C96" s="17">
        <v>0</v>
      </c>
      <c r="D96" s="1">
        <f t="shared" si="8"/>
        <v>0</v>
      </c>
      <c r="E96" s="21">
        <f t="shared" si="11"/>
        <v>66.922291521453261</v>
      </c>
      <c r="F96" s="1">
        <f>E95*G95</f>
        <v>9.3092841983691788</v>
      </c>
      <c r="G96" s="6">
        <f t="shared" si="7"/>
        <v>0.12</v>
      </c>
      <c r="H96" s="23">
        <f t="shared" si="9"/>
        <v>40</v>
      </c>
      <c r="I96" s="23">
        <f t="shared" si="10"/>
        <v>100</v>
      </c>
    </row>
    <row r="97" spans="1:9">
      <c r="A97">
        <f t="shared" si="6"/>
        <v>90</v>
      </c>
      <c r="B97">
        <v>1</v>
      </c>
      <c r="C97" s="17">
        <v>0</v>
      </c>
      <c r="D97" s="1">
        <f t="shared" si="8"/>
        <v>0</v>
      </c>
      <c r="E97" s="21">
        <f t="shared" si="11"/>
        <v>57.613007323084084</v>
      </c>
      <c r="F97" s="1">
        <f>E96*G96</f>
        <v>8.0306749825743911</v>
      </c>
      <c r="G97" s="6">
        <f t="shared" si="7"/>
        <v>0.12</v>
      </c>
      <c r="H97" s="23">
        <f t="shared" si="9"/>
        <v>40</v>
      </c>
      <c r="I97" s="23">
        <f t="shared" si="10"/>
        <v>100</v>
      </c>
    </row>
    <row r="98" spans="1:9">
      <c r="A98">
        <f t="shared" si="6"/>
        <v>91</v>
      </c>
      <c r="B98">
        <v>1</v>
      </c>
      <c r="C98" s="17">
        <v>0</v>
      </c>
      <c r="D98" s="1">
        <f t="shared" si="8"/>
        <v>0</v>
      </c>
      <c r="E98" s="21">
        <f t="shared" si="11"/>
        <v>49.582332340509694</v>
      </c>
      <c r="F98" s="1">
        <f>E97*G97</f>
        <v>6.91356087877009</v>
      </c>
      <c r="G98" s="6">
        <f t="shared" si="7"/>
        <v>0.12</v>
      </c>
      <c r="H98" s="23">
        <f t="shared" si="9"/>
        <v>40</v>
      </c>
      <c r="I98" s="23">
        <f t="shared" si="10"/>
        <v>100</v>
      </c>
    </row>
    <row r="99" spans="1:9">
      <c r="A99">
        <f t="shared" si="6"/>
        <v>92</v>
      </c>
      <c r="B99">
        <v>1</v>
      </c>
      <c r="C99" s="17">
        <v>1</v>
      </c>
      <c r="D99" s="1">
        <f t="shared" si="8"/>
        <v>360</v>
      </c>
      <c r="E99" s="21">
        <f t="shared" si="11"/>
        <v>42.668771461739603</v>
      </c>
      <c r="F99" s="1">
        <f>E98*G98</f>
        <v>5.9498798808611628</v>
      </c>
      <c r="G99" s="6">
        <f t="shared" si="7"/>
        <v>0.12</v>
      </c>
      <c r="H99" s="23">
        <f t="shared" si="9"/>
        <v>40</v>
      </c>
      <c r="I99" s="23">
        <f t="shared" si="10"/>
        <v>100</v>
      </c>
    </row>
    <row r="100" spans="1:9">
      <c r="A100">
        <f t="shared" si="6"/>
        <v>93</v>
      </c>
      <c r="B100">
        <v>1</v>
      </c>
      <c r="C100" s="17">
        <v>0</v>
      </c>
      <c r="D100" s="1">
        <f t="shared" si="8"/>
        <v>0</v>
      </c>
      <c r="E100" s="21">
        <f t="shared" si="11"/>
        <v>96.718891580878449</v>
      </c>
      <c r="F100" s="1">
        <f>E99*G99</f>
        <v>5.1202525754087524</v>
      </c>
      <c r="G100" s="6">
        <f t="shared" si="7"/>
        <v>0.12</v>
      </c>
      <c r="H100" s="23">
        <f t="shared" si="9"/>
        <v>40</v>
      </c>
      <c r="I100" s="23">
        <f t="shared" si="10"/>
        <v>100</v>
      </c>
    </row>
    <row r="101" spans="1:9">
      <c r="A101">
        <f t="shared" si="6"/>
        <v>94</v>
      </c>
      <c r="B101">
        <v>1</v>
      </c>
      <c r="C101" s="17">
        <v>0</v>
      </c>
      <c r="D101" s="1">
        <f t="shared" si="8"/>
        <v>0</v>
      </c>
      <c r="E101" s="21">
        <f t="shared" si="11"/>
        <v>91.598639005469693</v>
      </c>
      <c r="F101" s="1">
        <f>E100*G100</f>
        <v>11.606266989705414</v>
      </c>
      <c r="G101" s="6">
        <f t="shared" si="7"/>
        <v>0.12</v>
      </c>
      <c r="H101" s="23">
        <f t="shared" si="9"/>
        <v>40</v>
      </c>
      <c r="I101" s="23">
        <f t="shared" si="10"/>
        <v>100</v>
      </c>
    </row>
    <row r="102" spans="1:9">
      <c r="A102">
        <f t="shared" si="6"/>
        <v>95</v>
      </c>
      <c r="B102">
        <v>1</v>
      </c>
      <c r="C102" s="17">
        <v>0</v>
      </c>
      <c r="D102" s="1">
        <f t="shared" si="8"/>
        <v>0</v>
      </c>
      <c r="E102" s="21">
        <f t="shared" si="11"/>
        <v>79.992372015764275</v>
      </c>
      <c r="F102" s="1">
        <f>E101*G101</f>
        <v>10.991836680656363</v>
      </c>
      <c r="G102" s="6">
        <f t="shared" si="7"/>
        <v>0.12</v>
      </c>
      <c r="H102" s="23">
        <f t="shared" si="9"/>
        <v>40</v>
      </c>
      <c r="I102" s="23">
        <f t="shared" si="10"/>
        <v>100</v>
      </c>
    </row>
    <row r="103" spans="1:9">
      <c r="A103" s="7">
        <f t="shared" si="6"/>
        <v>96</v>
      </c>
      <c r="B103" s="7">
        <v>1</v>
      </c>
      <c r="C103" s="17">
        <v>0</v>
      </c>
      <c r="D103" s="1">
        <f t="shared" si="8"/>
        <v>0</v>
      </c>
      <c r="E103" s="21">
        <f t="shared" si="11"/>
        <v>69.000535335107912</v>
      </c>
      <c r="F103" s="8">
        <f>E102*G102</f>
        <v>9.5990846418917126</v>
      </c>
      <c r="G103" s="9">
        <f t="shared" si="7"/>
        <v>0.12</v>
      </c>
      <c r="H103" s="23">
        <f t="shared" si="9"/>
        <v>40</v>
      </c>
      <c r="I103" s="23">
        <f t="shared" si="10"/>
        <v>100</v>
      </c>
    </row>
    <row r="104" spans="1:9">
      <c r="A104">
        <f t="shared" si="6"/>
        <v>97</v>
      </c>
      <c r="B104">
        <v>1</v>
      </c>
      <c r="C104" s="17">
        <v>0</v>
      </c>
      <c r="D104" s="1">
        <f t="shared" si="8"/>
        <v>0</v>
      </c>
      <c r="E104" s="21">
        <f t="shared" si="11"/>
        <v>59.401450693216198</v>
      </c>
      <c r="F104" s="1">
        <f>E103*G103</f>
        <v>8.2800642402129494</v>
      </c>
      <c r="G104" s="6">
        <f t="shared" si="7"/>
        <v>0.12</v>
      </c>
      <c r="H104" s="23">
        <f t="shared" si="9"/>
        <v>40</v>
      </c>
      <c r="I104" s="23">
        <f t="shared" si="10"/>
        <v>100</v>
      </c>
    </row>
    <row r="105" spans="1:9">
      <c r="A105">
        <f t="shared" si="6"/>
        <v>98</v>
      </c>
      <c r="B105">
        <v>1</v>
      </c>
      <c r="C105" s="17">
        <v>0</v>
      </c>
      <c r="D105" s="1">
        <f t="shared" si="8"/>
        <v>0</v>
      </c>
      <c r="E105" s="21">
        <f t="shared" si="11"/>
        <v>51.121386453003247</v>
      </c>
      <c r="F105" s="1">
        <f>E104*G104</f>
        <v>7.1281740831859439</v>
      </c>
      <c r="G105" s="6">
        <f t="shared" si="7"/>
        <v>0.12</v>
      </c>
      <c r="H105" s="23">
        <f t="shared" si="9"/>
        <v>40</v>
      </c>
      <c r="I105" s="23">
        <f t="shared" si="10"/>
        <v>100</v>
      </c>
    </row>
    <row r="106" spans="1:9">
      <c r="A106">
        <f t="shared" si="6"/>
        <v>99</v>
      </c>
      <c r="B106">
        <v>1</v>
      </c>
      <c r="C106" s="17">
        <v>0</v>
      </c>
      <c r="D106" s="1">
        <f t="shared" si="8"/>
        <v>0</v>
      </c>
      <c r="E106" s="21">
        <f t="shared" si="11"/>
        <v>43.9932123698173</v>
      </c>
      <c r="F106" s="1">
        <f>E105*G105</f>
        <v>6.1345663743603893</v>
      </c>
      <c r="G106" s="6">
        <f t="shared" si="7"/>
        <v>0.12</v>
      </c>
      <c r="H106" s="23">
        <f t="shared" si="9"/>
        <v>40</v>
      </c>
      <c r="I106" s="23">
        <f t="shared" si="10"/>
        <v>100</v>
      </c>
    </row>
    <row r="107" spans="1:9">
      <c r="A107">
        <f t="shared" si="6"/>
        <v>100</v>
      </c>
      <c r="B107">
        <v>1</v>
      </c>
      <c r="C107" s="17">
        <v>0</v>
      </c>
      <c r="D107" s="1">
        <f t="shared" si="8"/>
        <v>0</v>
      </c>
      <c r="E107" s="21">
        <f t="shared" si="11"/>
        <v>37.858645995456911</v>
      </c>
      <c r="F107" s="1">
        <f>E106*G106</f>
        <v>5.2791854843780754</v>
      </c>
      <c r="G107" s="6">
        <f t="shared" si="7"/>
        <v>0.12</v>
      </c>
      <c r="H107" s="23">
        <f t="shared" si="9"/>
        <v>40</v>
      </c>
      <c r="I107" s="23">
        <f t="shared" si="10"/>
        <v>100</v>
      </c>
    </row>
    <row r="108" spans="1:9">
      <c r="A108">
        <f t="shared" ref="A108:A117" si="12">A107+B107</f>
        <v>101</v>
      </c>
      <c r="B108">
        <v>1</v>
      </c>
      <c r="C108" s="17">
        <v>0</v>
      </c>
      <c r="D108" s="1">
        <f t="shared" si="8"/>
        <v>0</v>
      </c>
      <c r="E108" s="21">
        <f t="shared" si="11"/>
        <v>32.579460511078835</v>
      </c>
      <c r="F108" s="1">
        <f>E107*G107</f>
        <v>4.5430375194548294</v>
      </c>
      <c r="G108" s="6">
        <f t="shared" ref="G108:G117" si="13">G107</f>
        <v>0.12</v>
      </c>
      <c r="H108" s="23">
        <f t="shared" si="9"/>
        <v>40</v>
      </c>
      <c r="I108" s="23">
        <f t="shared" si="10"/>
        <v>100</v>
      </c>
    </row>
    <row r="109" spans="1:9">
      <c r="A109">
        <f t="shared" si="12"/>
        <v>102</v>
      </c>
      <c r="B109">
        <v>1</v>
      </c>
      <c r="C109" s="17">
        <v>1</v>
      </c>
      <c r="D109" s="1">
        <f t="shared" si="8"/>
        <v>360</v>
      </c>
      <c r="E109" s="21">
        <f t="shared" si="11"/>
        <v>28.036422991624008</v>
      </c>
      <c r="F109" s="1">
        <f>E108*G108</f>
        <v>3.9095352613294603</v>
      </c>
      <c r="G109" s="6">
        <f t="shared" si="13"/>
        <v>0.12</v>
      </c>
      <c r="H109" s="23">
        <f t="shared" si="9"/>
        <v>40</v>
      </c>
      <c r="I109" s="23">
        <f t="shared" si="10"/>
        <v>100</v>
      </c>
    </row>
    <row r="110" spans="1:9">
      <c r="A110">
        <f t="shared" si="12"/>
        <v>103</v>
      </c>
      <c r="B110">
        <v>1</v>
      </c>
      <c r="C110" s="17">
        <v>0</v>
      </c>
      <c r="D110" s="1">
        <f t="shared" si="8"/>
        <v>0</v>
      </c>
      <c r="E110" s="21">
        <f t="shared" si="11"/>
        <v>84.126887730294555</v>
      </c>
      <c r="F110" s="1">
        <f>E109*G109</f>
        <v>3.3643707589948808</v>
      </c>
      <c r="G110" s="6">
        <f t="shared" si="13"/>
        <v>0.12</v>
      </c>
      <c r="H110" s="23">
        <f t="shared" si="9"/>
        <v>40</v>
      </c>
      <c r="I110" s="23">
        <f t="shared" si="10"/>
        <v>100</v>
      </c>
    </row>
    <row r="111" spans="1:9">
      <c r="A111">
        <f t="shared" si="12"/>
        <v>104</v>
      </c>
      <c r="B111">
        <v>1</v>
      </c>
      <c r="C111" s="17">
        <v>0</v>
      </c>
      <c r="D111" s="1">
        <f t="shared" si="8"/>
        <v>0</v>
      </c>
      <c r="E111" s="21">
        <f t="shared" si="11"/>
        <v>80.762516971299675</v>
      </c>
      <c r="F111" s="1">
        <f>E110*G110</f>
        <v>10.095226527635345</v>
      </c>
      <c r="G111" s="6">
        <f t="shared" si="13"/>
        <v>0.12</v>
      </c>
      <c r="H111" s="23">
        <f t="shared" si="9"/>
        <v>40</v>
      </c>
      <c r="I111" s="23">
        <f t="shared" si="10"/>
        <v>100</v>
      </c>
    </row>
    <row r="112" spans="1:9">
      <c r="A112">
        <f t="shared" si="12"/>
        <v>105</v>
      </c>
      <c r="B112">
        <v>1</v>
      </c>
      <c r="C112" s="17">
        <v>0</v>
      </c>
      <c r="D112" s="1">
        <f t="shared" si="8"/>
        <v>0</v>
      </c>
      <c r="E112" s="21">
        <f t="shared" si="11"/>
        <v>70.667290443664328</v>
      </c>
      <c r="F112" s="1">
        <f>E111*G111</f>
        <v>9.6915020365559599</v>
      </c>
      <c r="G112" s="6">
        <f t="shared" si="13"/>
        <v>0.12</v>
      </c>
      <c r="H112" s="23">
        <f t="shared" si="9"/>
        <v>40</v>
      </c>
      <c r="I112" s="23">
        <f t="shared" si="10"/>
        <v>100</v>
      </c>
    </row>
    <row r="113" spans="1:9">
      <c r="A113">
        <f t="shared" si="12"/>
        <v>106</v>
      </c>
      <c r="B113">
        <v>1</v>
      </c>
      <c r="C113" s="17">
        <v>0</v>
      </c>
      <c r="D113" s="1">
        <f t="shared" si="8"/>
        <v>0</v>
      </c>
      <c r="E113" s="21">
        <f t="shared" si="11"/>
        <v>60.975788407108368</v>
      </c>
      <c r="F113" s="1">
        <f>E112*G112</f>
        <v>8.480074853239719</v>
      </c>
      <c r="G113" s="6">
        <f t="shared" si="13"/>
        <v>0.12</v>
      </c>
      <c r="H113" s="23">
        <f t="shared" si="9"/>
        <v>40</v>
      </c>
      <c r="I113" s="23">
        <f t="shared" si="10"/>
        <v>100</v>
      </c>
    </row>
    <row r="114" spans="1:9">
      <c r="A114">
        <f t="shared" si="12"/>
        <v>107</v>
      </c>
      <c r="B114">
        <v>1</v>
      </c>
      <c r="C114" s="17">
        <v>0</v>
      </c>
      <c r="D114" s="1">
        <f t="shared" si="8"/>
        <v>0</v>
      </c>
      <c r="E114" s="21">
        <f t="shared" si="11"/>
        <v>52.495713553868647</v>
      </c>
      <c r="F114" s="1">
        <f>E113*G113</f>
        <v>7.3170946088530036</v>
      </c>
      <c r="G114" s="6">
        <f t="shared" si="13"/>
        <v>0.12</v>
      </c>
      <c r="H114" s="23">
        <f t="shared" si="9"/>
        <v>40</v>
      </c>
      <c r="I114" s="23">
        <f t="shared" si="10"/>
        <v>100</v>
      </c>
    </row>
    <row r="115" spans="1:9">
      <c r="A115">
        <f t="shared" si="12"/>
        <v>108</v>
      </c>
      <c r="B115">
        <v>1</v>
      </c>
      <c r="C115" s="17">
        <v>0</v>
      </c>
      <c r="D115" s="1">
        <f t="shared" si="8"/>
        <v>0</v>
      </c>
      <c r="E115" s="21">
        <f t="shared" si="11"/>
        <v>45.178618945015643</v>
      </c>
      <c r="F115" s="1">
        <f>E114*G114</f>
        <v>6.2994856264642376</v>
      </c>
      <c r="G115" s="6">
        <f t="shared" si="13"/>
        <v>0.12</v>
      </c>
      <c r="H115" s="23">
        <f t="shared" si="9"/>
        <v>40</v>
      </c>
      <c r="I115" s="23">
        <f t="shared" si="10"/>
        <v>100</v>
      </c>
    </row>
    <row r="116" spans="1:9">
      <c r="A116">
        <f t="shared" si="12"/>
        <v>109</v>
      </c>
      <c r="B116">
        <v>1</v>
      </c>
      <c r="C116" s="17">
        <v>1</v>
      </c>
      <c r="D116" s="1">
        <f t="shared" si="8"/>
        <v>360</v>
      </c>
      <c r="E116" s="21">
        <f t="shared" si="11"/>
        <v>38.879133318551403</v>
      </c>
      <c r="F116" s="1">
        <f>E115*G115</f>
        <v>5.4214342734018768</v>
      </c>
      <c r="G116" s="6">
        <f t="shared" si="13"/>
        <v>0.12</v>
      </c>
      <c r="H116" s="23">
        <f t="shared" si="9"/>
        <v>40</v>
      </c>
      <c r="I116" s="23">
        <f t="shared" si="10"/>
        <v>100</v>
      </c>
    </row>
    <row r="117" spans="1:9">
      <c r="A117">
        <f t="shared" si="12"/>
        <v>110</v>
      </c>
      <c r="B117">
        <v>1</v>
      </c>
      <c r="C117" s="17">
        <v>0</v>
      </c>
      <c r="D117" s="1">
        <f t="shared" si="8"/>
        <v>0</v>
      </c>
      <c r="E117" s="21">
        <f t="shared" si="11"/>
        <v>93.457699045149525</v>
      </c>
      <c r="F117" s="1">
        <f>E116*G116</f>
        <v>4.6654959982261683</v>
      </c>
      <c r="G117" s="6">
        <f t="shared" si="13"/>
        <v>0.12</v>
      </c>
      <c r="H117" s="23">
        <f t="shared" si="9"/>
        <v>40</v>
      </c>
      <c r="I117" s="23">
        <f t="shared" si="10"/>
        <v>100</v>
      </c>
    </row>
  </sheetData>
  <phoneticPr fontId="0" type="noConversion"/>
  <pageMargins left="0.75" right="0.75" top="0.69" bottom="0.72" header="0.5" footer="0.5"/>
  <pageSetup paperSize="9" scale="65" orientation="portrait" r:id="rId1"/>
  <headerFooter alignWithMargins="0"/>
  <colBreaks count="1" manualBreakCount="1">
    <brk id="1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8"/>
  <sheetViews>
    <sheetView tabSelected="1" workbookViewId="0" xr3:uid="{958C4451-9541-5A59-BF78-D2F731DF1C81}">
      <pane ySplit="6" topLeftCell="A7" activePane="bottomLeft" state="frozen"/>
      <selection pane="bottomLeft" activeCell="G4" sqref="G4"/>
    </sheetView>
  </sheetViews>
  <sheetFormatPr defaultRowHeight="12.75"/>
  <cols>
    <col min="1" max="2" width="4.7109375" customWidth="1"/>
    <col min="3" max="3" width="5.85546875" customWidth="1"/>
    <col min="4" max="4" width="9.5703125" bestFit="1" customWidth="1"/>
    <col min="5" max="5" width="13.140625" bestFit="1" customWidth="1"/>
    <col min="6" max="6" width="17.140625" customWidth="1"/>
    <col min="7" max="7" width="9.140625" style="5"/>
    <col min="8" max="9" width="5.5703125" style="5" customWidth="1"/>
    <col min="14" max="14" width="4.7109375" customWidth="1"/>
  </cols>
  <sheetData>
    <row r="1" spans="1:14">
      <c r="A1" s="5"/>
      <c r="F1" s="16" t="s">
        <v>0</v>
      </c>
      <c r="G1" s="17">
        <v>6</v>
      </c>
      <c r="H1" s="22"/>
      <c r="I1" s="16" t="s">
        <v>1</v>
      </c>
      <c r="J1" s="17">
        <v>48</v>
      </c>
    </row>
    <row r="2" spans="1:14">
      <c r="F2" s="16" t="s">
        <v>2</v>
      </c>
      <c r="G2" s="17">
        <f>360*1.2</f>
        <v>432</v>
      </c>
      <c r="H2" s="22"/>
      <c r="I2" s="16" t="s">
        <v>3</v>
      </c>
      <c r="J2" s="17">
        <v>120</v>
      </c>
    </row>
    <row r="3" spans="1:14">
      <c r="F3" s="16" t="s">
        <v>14</v>
      </c>
      <c r="G3" s="17">
        <v>0.15</v>
      </c>
      <c r="H3" s="22"/>
      <c r="I3" s="22"/>
    </row>
    <row r="4" spans="1:14" s="10" customFormat="1">
      <c r="D4" s="11"/>
      <c r="E4" s="11"/>
      <c r="F4" s="11"/>
    </row>
    <row r="5" spans="1:14" s="10" customFormat="1">
      <c r="C5" s="19" t="s">
        <v>5</v>
      </c>
      <c r="D5" s="11"/>
      <c r="E5" s="11"/>
      <c r="F5" s="11"/>
      <c r="G5" s="12" t="s">
        <v>6</v>
      </c>
      <c r="H5" s="12"/>
      <c r="I5" s="12"/>
    </row>
    <row r="6" spans="1:14" s="10" customFormat="1">
      <c r="A6" s="13" t="s">
        <v>7</v>
      </c>
      <c r="B6" s="14" t="s">
        <v>8</v>
      </c>
      <c r="C6" s="18" t="s">
        <v>9</v>
      </c>
      <c r="D6" s="11" t="s">
        <v>10</v>
      </c>
      <c r="E6" s="20" t="s">
        <v>11</v>
      </c>
      <c r="F6" s="11" t="s">
        <v>6</v>
      </c>
      <c r="G6" s="12" t="s">
        <v>12</v>
      </c>
      <c r="H6" s="12" t="s">
        <v>1</v>
      </c>
      <c r="I6" s="12" t="s">
        <v>3</v>
      </c>
      <c r="K6" s="15"/>
    </row>
    <row r="7" spans="1:14">
      <c r="A7">
        <v>0</v>
      </c>
      <c r="B7">
        <v>1</v>
      </c>
      <c r="C7" s="17">
        <v>0</v>
      </c>
      <c r="D7" s="1">
        <f>IF(C7=1,$G$2,0)</f>
        <v>0</v>
      </c>
      <c r="E7" s="21">
        <v>100</v>
      </c>
      <c r="F7" s="1">
        <v>0</v>
      </c>
      <c r="G7" s="6">
        <f ca="1">+$G$3-0.04+RANDBETWEEN(0,8)/100</f>
        <v>0.19</v>
      </c>
      <c r="H7" s="23">
        <f>$J$1</f>
        <v>48</v>
      </c>
      <c r="I7" s="23">
        <f>$J$2</f>
        <v>120</v>
      </c>
    </row>
    <row r="8" spans="1:14">
      <c r="A8">
        <f>A7+B7</f>
        <v>1</v>
      </c>
      <c r="B8">
        <v>1</v>
      </c>
      <c r="C8" s="17">
        <v>0</v>
      </c>
      <c r="D8" s="1">
        <f t="shared" ref="D8:D71" si="0">IF(C8=1,$G$2,0)</f>
        <v>0</v>
      </c>
      <c r="E8" s="21">
        <f>E7+(D7/$G$1-F7)*B7</f>
        <v>100</v>
      </c>
      <c r="F8" s="1">
        <f ca="1">E7*G7</f>
        <v>19</v>
      </c>
      <c r="G8" s="6">
        <f ca="1">G7</f>
        <v>0.19</v>
      </c>
      <c r="H8" s="23">
        <f t="shared" ref="H8:H71" si="1">$J$1</f>
        <v>48</v>
      </c>
      <c r="I8" s="23">
        <f t="shared" ref="I8:I71" si="2">$J$2</f>
        <v>120</v>
      </c>
      <c r="J8" s="2"/>
      <c r="K8" s="2"/>
      <c r="L8" s="2"/>
      <c r="M8" s="2"/>
    </row>
    <row r="9" spans="1:14">
      <c r="A9">
        <f t="shared" ref="A9:A72" si="3">A8+B8</f>
        <v>2</v>
      </c>
      <c r="B9">
        <v>1</v>
      </c>
      <c r="C9" s="17">
        <v>0</v>
      </c>
      <c r="D9" s="1">
        <f t="shared" si="0"/>
        <v>0</v>
      </c>
      <c r="E9" s="21">
        <f t="shared" ref="E9:E72" ca="1" si="4">E8+(D8/$G$1-F8)*B8</f>
        <v>81</v>
      </c>
      <c r="F9" s="1">
        <f ca="1">E8*G8</f>
        <v>19</v>
      </c>
      <c r="G9" s="6">
        <f t="shared" ref="G9:G13" ca="1" si="5">G8</f>
        <v>0.19</v>
      </c>
      <c r="H9" s="23">
        <f t="shared" si="1"/>
        <v>48</v>
      </c>
      <c r="I9" s="23">
        <f t="shared" si="2"/>
        <v>120</v>
      </c>
      <c r="J9" s="2"/>
      <c r="K9" s="2"/>
      <c r="L9" s="2"/>
      <c r="M9" s="2"/>
    </row>
    <row r="10" spans="1:14">
      <c r="A10">
        <f t="shared" si="3"/>
        <v>3</v>
      </c>
      <c r="B10">
        <v>1</v>
      </c>
      <c r="C10" s="17">
        <v>0</v>
      </c>
      <c r="D10" s="1">
        <f t="shared" si="0"/>
        <v>0</v>
      </c>
      <c r="E10" s="21">
        <f t="shared" ca="1" si="4"/>
        <v>62</v>
      </c>
      <c r="F10" s="1">
        <f ca="1">E9*G9</f>
        <v>15.39</v>
      </c>
      <c r="G10" s="6">
        <f t="shared" ca="1" si="5"/>
        <v>0.19</v>
      </c>
      <c r="H10" s="23">
        <f t="shared" si="1"/>
        <v>48</v>
      </c>
      <c r="I10" s="23">
        <f t="shared" si="2"/>
        <v>120</v>
      </c>
    </row>
    <row r="11" spans="1:14">
      <c r="A11">
        <f t="shared" si="3"/>
        <v>4</v>
      </c>
      <c r="B11">
        <v>1</v>
      </c>
      <c r="C11" s="17">
        <v>0</v>
      </c>
      <c r="D11" s="1">
        <f t="shared" si="0"/>
        <v>0</v>
      </c>
      <c r="E11" s="21">
        <f t="shared" ca="1" si="4"/>
        <v>46.61</v>
      </c>
      <c r="F11" s="1">
        <f ca="1">E10*G10</f>
        <v>11.78</v>
      </c>
      <c r="G11" s="6">
        <f t="shared" ca="1" si="5"/>
        <v>0.19</v>
      </c>
      <c r="H11" s="23">
        <f t="shared" si="1"/>
        <v>48</v>
      </c>
      <c r="I11" s="23">
        <f t="shared" si="2"/>
        <v>120</v>
      </c>
      <c r="J11" s="3"/>
      <c r="K11" s="3"/>
      <c r="L11" s="3"/>
      <c r="M11" s="3"/>
    </row>
    <row r="12" spans="1:14">
      <c r="A12">
        <f t="shared" si="3"/>
        <v>5</v>
      </c>
      <c r="B12">
        <v>1</v>
      </c>
      <c r="C12" s="17">
        <v>0</v>
      </c>
      <c r="D12" s="1">
        <f t="shared" si="0"/>
        <v>0</v>
      </c>
      <c r="E12" s="21">
        <f t="shared" ca="1" si="4"/>
        <v>34.83</v>
      </c>
      <c r="F12" s="1">
        <f ca="1">E11*G11</f>
        <v>8.8559000000000001</v>
      </c>
      <c r="G12" s="6">
        <f t="shared" ca="1" si="5"/>
        <v>0.19</v>
      </c>
      <c r="H12" s="23">
        <f t="shared" si="1"/>
        <v>48</v>
      </c>
      <c r="I12" s="23">
        <f t="shared" si="2"/>
        <v>120</v>
      </c>
    </row>
    <row r="13" spans="1:14">
      <c r="A13">
        <f t="shared" si="3"/>
        <v>6</v>
      </c>
      <c r="B13">
        <v>1</v>
      </c>
      <c r="C13" s="17">
        <v>1</v>
      </c>
      <c r="D13" s="1">
        <f t="shared" si="0"/>
        <v>432</v>
      </c>
      <c r="E13" s="21">
        <f t="shared" ca="1" si="4"/>
        <v>25.9741</v>
      </c>
      <c r="F13" s="1">
        <f ca="1">E12*G12</f>
        <v>6.6177000000000001</v>
      </c>
      <c r="G13" s="6">
        <f t="shared" ca="1" si="5"/>
        <v>0.19</v>
      </c>
      <c r="H13" s="23">
        <f t="shared" si="1"/>
        <v>48</v>
      </c>
      <c r="I13" s="23">
        <f t="shared" si="2"/>
        <v>120</v>
      </c>
      <c r="K13" s="1"/>
      <c r="L13" s="1"/>
      <c r="M13" s="4"/>
      <c r="N13" t="s">
        <v>13</v>
      </c>
    </row>
    <row r="14" spans="1:14">
      <c r="A14">
        <f t="shared" si="3"/>
        <v>7</v>
      </c>
      <c r="B14">
        <v>1</v>
      </c>
      <c r="C14" s="17">
        <v>0</v>
      </c>
      <c r="D14" s="1">
        <f t="shared" si="0"/>
        <v>0</v>
      </c>
      <c r="E14" s="21">
        <f t="shared" ca="1" si="4"/>
        <v>91.356400000000008</v>
      </c>
      <c r="F14" s="1">
        <f ca="1">E13*G13</f>
        <v>4.935079</v>
      </c>
      <c r="G14" s="6">
        <f ca="1">+$G$3-0.04+RANDBETWEEN(0,8)/100</f>
        <v>0.10999999999999999</v>
      </c>
      <c r="H14" s="23">
        <f t="shared" si="1"/>
        <v>48</v>
      </c>
      <c r="I14" s="23">
        <f>$J$2</f>
        <v>120</v>
      </c>
      <c r="K14" s="1"/>
      <c r="L14" s="1"/>
      <c r="M14" s="4"/>
    </row>
    <row r="15" spans="1:14">
      <c r="A15">
        <f t="shared" si="3"/>
        <v>8</v>
      </c>
      <c r="B15">
        <v>1</v>
      </c>
      <c r="C15" s="17">
        <v>0</v>
      </c>
      <c r="D15" s="1">
        <f t="shared" si="0"/>
        <v>0</v>
      </c>
      <c r="E15" s="21">
        <f t="shared" ca="1" si="4"/>
        <v>86.421321000000006</v>
      </c>
      <c r="F15" s="1">
        <f ca="1">E14*G14</f>
        <v>10.049204</v>
      </c>
      <c r="G15" s="6">
        <f ca="1">G14</f>
        <v>0.10999999999999999</v>
      </c>
      <c r="H15" s="23">
        <f t="shared" si="1"/>
        <v>48</v>
      </c>
      <c r="I15" s="23">
        <f t="shared" si="2"/>
        <v>120</v>
      </c>
      <c r="K15" s="1"/>
      <c r="L15" s="1"/>
      <c r="M15" s="4"/>
    </row>
    <row r="16" spans="1:14">
      <c r="A16">
        <f t="shared" si="3"/>
        <v>9</v>
      </c>
      <c r="B16">
        <v>1</v>
      </c>
      <c r="C16" s="17">
        <v>0</v>
      </c>
      <c r="D16" s="1">
        <f t="shared" si="0"/>
        <v>0</v>
      </c>
      <c r="E16" s="21">
        <f t="shared" ca="1" si="4"/>
        <v>76.372117000000003</v>
      </c>
      <c r="F16" s="1">
        <f ca="1">E15*G15</f>
        <v>9.5063453100000004</v>
      </c>
      <c r="G16" s="6">
        <f t="shared" ref="G16:G20" ca="1" si="6">G15</f>
        <v>0.10999999999999999</v>
      </c>
      <c r="H16" s="23">
        <f t="shared" si="1"/>
        <v>48</v>
      </c>
      <c r="I16" s="23">
        <f t="shared" si="2"/>
        <v>120</v>
      </c>
      <c r="K16" s="1"/>
      <c r="L16" s="1"/>
      <c r="M16" s="4"/>
    </row>
    <row r="17" spans="1:18">
      <c r="A17">
        <f t="shared" si="3"/>
        <v>10</v>
      </c>
      <c r="B17">
        <v>1</v>
      </c>
      <c r="C17" s="17">
        <v>0</v>
      </c>
      <c r="D17" s="1">
        <f t="shared" si="0"/>
        <v>0</v>
      </c>
      <c r="E17" s="21">
        <f t="shared" ca="1" si="4"/>
        <v>66.865771690000003</v>
      </c>
      <c r="F17" s="1">
        <f ca="1">E16*G16</f>
        <v>8.4009328700000001</v>
      </c>
      <c r="G17" s="6">
        <f t="shared" ca="1" si="6"/>
        <v>0.10999999999999999</v>
      </c>
      <c r="H17" s="23">
        <f t="shared" si="1"/>
        <v>48</v>
      </c>
      <c r="I17" s="23">
        <f t="shared" si="2"/>
        <v>120</v>
      </c>
      <c r="K17" s="1"/>
      <c r="L17" s="1"/>
      <c r="M17" s="4"/>
    </row>
    <row r="18" spans="1:18">
      <c r="A18">
        <f t="shared" si="3"/>
        <v>11</v>
      </c>
      <c r="B18">
        <v>1</v>
      </c>
      <c r="C18" s="17">
        <v>0</v>
      </c>
      <c r="D18" s="1">
        <f t="shared" si="0"/>
        <v>0</v>
      </c>
      <c r="E18" s="21">
        <f t="shared" ca="1" si="4"/>
        <v>58.464838820000004</v>
      </c>
      <c r="F18" s="1">
        <f ca="1">E17*G17</f>
        <v>7.355234885899999</v>
      </c>
      <c r="G18" s="6">
        <f t="shared" ca="1" si="6"/>
        <v>0.10999999999999999</v>
      </c>
      <c r="H18" s="23">
        <f t="shared" si="1"/>
        <v>48</v>
      </c>
      <c r="I18" s="23">
        <f t="shared" si="2"/>
        <v>120</v>
      </c>
      <c r="K18" s="1"/>
      <c r="L18" s="1"/>
      <c r="M18" s="4"/>
    </row>
    <row r="19" spans="1:18">
      <c r="A19">
        <f t="shared" si="3"/>
        <v>12</v>
      </c>
      <c r="B19">
        <v>1</v>
      </c>
      <c r="C19" s="17">
        <v>0</v>
      </c>
      <c r="D19" s="1">
        <f t="shared" si="0"/>
        <v>0</v>
      </c>
      <c r="E19" s="21">
        <f t="shared" ca="1" si="4"/>
        <v>51.109603934100008</v>
      </c>
      <c r="F19" s="1">
        <f ca="1">E18*G18</f>
        <v>6.4311322702</v>
      </c>
      <c r="G19" s="6">
        <f t="shared" ca="1" si="6"/>
        <v>0.10999999999999999</v>
      </c>
      <c r="H19" s="23">
        <f t="shared" si="1"/>
        <v>48</v>
      </c>
      <c r="I19" s="23">
        <f t="shared" si="2"/>
        <v>120</v>
      </c>
      <c r="K19" s="1"/>
      <c r="L19" s="1"/>
      <c r="M19" s="4"/>
    </row>
    <row r="20" spans="1:18">
      <c r="A20">
        <f t="shared" si="3"/>
        <v>13</v>
      </c>
      <c r="B20">
        <v>1</v>
      </c>
      <c r="C20" s="17">
        <v>1</v>
      </c>
      <c r="D20" s="1">
        <f t="shared" si="0"/>
        <v>432</v>
      </c>
      <c r="E20" s="21">
        <f t="shared" ca="1" si="4"/>
        <v>44.678471663900005</v>
      </c>
      <c r="F20" s="1">
        <f ca="1">E19*G19</f>
        <v>5.6220564327510001</v>
      </c>
      <c r="G20" s="6">
        <f t="shared" ca="1" si="6"/>
        <v>0.10999999999999999</v>
      </c>
      <c r="H20" s="23">
        <f t="shared" si="1"/>
        <v>48</v>
      </c>
      <c r="I20" s="23">
        <f t="shared" si="2"/>
        <v>120</v>
      </c>
      <c r="K20" s="1"/>
      <c r="L20" s="1"/>
      <c r="M20" s="4"/>
    </row>
    <row r="21" spans="1:18">
      <c r="A21">
        <f t="shared" si="3"/>
        <v>14</v>
      </c>
      <c r="B21">
        <v>1</v>
      </c>
      <c r="C21" s="17">
        <v>0</v>
      </c>
      <c r="D21" s="1">
        <f t="shared" si="0"/>
        <v>0</v>
      </c>
      <c r="E21" s="21">
        <f t="shared" ca="1" si="4"/>
        <v>111.056415231149</v>
      </c>
      <c r="F21" s="1">
        <f ca="1">E20*G20</f>
        <v>4.9146318830290001</v>
      </c>
      <c r="G21" s="6">
        <f ca="1">+$G$3-0.04+RANDBETWEEN(0,8)/100</f>
        <v>0.13999999999999999</v>
      </c>
      <c r="H21" s="23">
        <f t="shared" si="1"/>
        <v>48</v>
      </c>
      <c r="I21" s="23">
        <f t="shared" si="2"/>
        <v>120</v>
      </c>
      <c r="K21" s="1"/>
      <c r="L21" s="1"/>
      <c r="M21" s="4"/>
      <c r="P21" t="s">
        <v>13</v>
      </c>
    </row>
    <row r="22" spans="1:18">
      <c r="A22">
        <f t="shared" si="3"/>
        <v>15</v>
      </c>
      <c r="B22">
        <v>1</v>
      </c>
      <c r="C22" s="17">
        <v>0</v>
      </c>
      <c r="D22" s="1">
        <f t="shared" si="0"/>
        <v>0</v>
      </c>
      <c r="E22" s="21">
        <f t="shared" ca="1" si="4"/>
        <v>106.14178334812</v>
      </c>
      <c r="F22" s="1">
        <f ca="1">E21*G21</f>
        <v>15.547898132360858</v>
      </c>
      <c r="G22" s="6">
        <f ca="1">G21</f>
        <v>0.13999999999999999</v>
      </c>
      <c r="H22" s="23">
        <f t="shared" si="1"/>
        <v>48</v>
      </c>
      <c r="I22" s="23">
        <f t="shared" si="2"/>
        <v>120</v>
      </c>
      <c r="J22" t="s">
        <v>13</v>
      </c>
      <c r="K22" s="1"/>
      <c r="L22" s="1"/>
      <c r="M22" s="4"/>
      <c r="O22" t="s">
        <v>13</v>
      </c>
      <c r="P22" t="s">
        <v>13</v>
      </c>
    </row>
    <row r="23" spans="1:18">
      <c r="A23">
        <f t="shared" si="3"/>
        <v>16</v>
      </c>
      <c r="B23">
        <v>1</v>
      </c>
      <c r="C23" s="17">
        <v>0</v>
      </c>
      <c r="D23" s="1">
        <f t="shared" si="0"/>
        <v>0</v>
      </c>
      <c r="E23" s="21">
        <f t="shared" ca="1" si="4"/>
        <v>90.593885215759144</v>
      </c>
      <c r="F23" s="1">
        <f ca="1">E22*G22</f>
        <v>14.859849668736798</v>
      </c>
      <c r="G23" s="6">
        <f t="shared" ref="G23:G27" ca="1" si="7">G22</f>
        <v>0.13999999999999999</v>
      </c>
      <c r="H23" s="23">
        <f t="shared" si="1"/>
        <v>48</v>
      </c>
      <c r="I23" s="23">
        <f t="shared" si="2"/>
        <v>120</v>
      </c>
      <c r="K23" s="1"/>
      <c r="L23" s="1"/>
      <c r="M23" s="4"/>
      <c r="P23" t="s">
        <v>13</v>
      </c>
    </row>
    <row r="24" spans="1:18">
      <c r="A24">
        <f t="shared" si="3"/>
        <v>17</v>
      </c>
      <c r="B24">
        <v>1</v>
      </c>
      <c r="C24" s="17">
        <v>0</v>
      </c>
      <c r="D24" s="1">
        <f t="shared" si="0"/>
        <v>0</v>
      </c>
      <c r="E24" s="21">
        <f t="shared" ca="1" si="4"/>
        <v>75.734035547022344</v>
      </c>
      <c r="F24" s="1">
        <f ca="1">E23*G23</f>
        <v>12.683143930206279</v>
      </c>
      <c r="G24" s="6">
        <f t="shared" ca="1" si="7"/>
        <v>0.13999999999999999</v>
      </c>
      <c r="H24" s="23">
        <f t="shared" si="1"/>
        <v>48</v>
      </c>
      <c r="I24" s="23">
        <f t="shared" si="2"/>
        <v>120</v>
      </c>
      <c r="K24" s="1"/>
      <c r="L24" s="1"/>
      <c r="M24" s="4"/>
    </row>
    <row r="25" spans="1:18">
      <c r="A25">
        <f t="shared" si="3"/>
        <v>18</v>
      </c>
      <c r="B25">
        <v>1</v>
      </c>
      <c r="C25" s="17">
        <v>0</v>
      </c>
      <c r="D25" s="1">
        <f t="shared" si="0"/>
        <v>0</v>
      </c>
      <c r="E25" s="21">
        <f t="shared" ca="1" si="4"/>
        <v>63.050891616816067</v>
      </c>
      <c r="F25" s="1">
        <f ca="1">E24*G24</f>
        <v>10.602764976583128</v>
      </c>
      <c r="G25" s="6">
        <f t="shared" ca="1" si="7"/>
        <v>0.13999999999999999</v>
      </c>
      <c r="H25" s="23">
        <f t="shared" si="1"/>
        <v>48</v>
      </c>
      <c r="I25" s="23">
        <f t="shared" si="2"/>
        <v>120</v>
      </c>
      <c r="K25" s="1"/>
      <c r="L25" s="1"/>
      <c r="M25" s="4"/>
    </row>
    <row r="26" spans="1:18">
      <c r="A26">
        <f t="shared" si="3"/>
        <v>19</v>
      </c>
      <c r="B26">
        <v>1</v>
      </c>
      <c r="C26" s="17">
        <v>0</v>
      </c>
      <c r="D26" s="1">
        <f t="shared" si="0"/>
        <v>0</v>
      </c>
      <c r="E26" s="21">
        <f t="shared" ca="1" si="4"/>
        <v>52.448126640232942</v>
      </c>
      <c r="F26" s="1">
        <f ca="1">E25*G25</f>
        <v>8.8271248263542486</v>
      </c>
      <c r="G26" s="6">
        <f t="shared" ca="1" si="7"/>
        <v>0.13999999999999999</v>
      </c>
      <c r="H26" s="23">
        <f t="shared" si="1"/>
        <v>48</v>
      </c>
      <c r="I26" s="23">
        <f t="shared" si="2"/>
        <v>120</v>
      </c>
      <c r="K26" s="1"/>
      <c r="L26" s="1"/>
      <c r="M26" s="4"/>
      <c r="O26" t="s">
        <v>13</v>
      </c>
      <c r="R26" t="s">
        <v>13</v>
      </c>
    </row>
    <row r="27" spans="1:18">
      <c r="A27">
        <f t="shared" si="3"/>
        <v>20</v>
      </c>
      <c r="B27">
        <v>1</v>
      </c>
      <c r="C27" s="17">
        <v>1</v>
      </c>
      <c r="D27" s="1">
        <f t="shared" si="0"/>
        <v>432</v>
      </c>
      <c r="E27" s="21">
        <f t="shared" ca="1" si="4"/>
        <v>43.621001813878692</v>
      </c>
      <c r="F27" s="1">
        <f ca="1">E26*G26</f>
        <v>7.3427377296326108</v>
      </c>
      <c r="G27" s="6">
        <f t="shared" ca="1" si="7"/>
        <v>0.13999999999999999</v>
      </c>
      <c r="H27" s="23">
        <f t="shared" si="1"/>
        <v>48</v>
      </c>
      <c r="I27" s="23">
        <f t="shared" si="2"/>
        <v>120</v>
      </c>
      <c r="K27" s="1"/>
      <c r="L27" s="1"/>
      <c r="M27" s="4" t="s">
        <v>13</v>
      </c>
    </row>
    <row r="28" spans="1:18">
      <c r="A28">
        <f t="shared" si="3"/>
        <v>21</v>
      </c>
      <c r="B28">
        <v>1</v>
      </c>
      <c r="C28" s="17">
        <v>0</v>
      </c>
      <c r="D28" s="1">
        <f t="shared" si="0"/>
        <v>0</v>
      </c>
      <c r="E28" s="21">
        <f t="shared" ca="1" si="4"/>
        <v>108.27826408424608</v>
      </c>
      <c r="F28" s="1">
        <f ca="1">E27*G27</f>
        <v>6.1069402539430166</v>
      </c>
      <c r="G28" s="6">
        <f ca="1">+$G$3-0.04+RANDBETWEEN(0,8)/100</f>
        <v>0.12999999999999998</v>
      </c>
      <c r="H28" s="23">
        <f t="shared" si="1"/>
        <v>48</v>
      </c>
      <c r="I28" s="23">
        <f t="shared" si="2"/>
        <v>120</v>
      </c>
      <c r="K28" s="1"/>
      <c r="L28" s="1"/>
      <c r="M28" s="4"/>
    </row>
    <row r="29" spans="1:18">
      <c r="A29">
        <f t="shared" si="3"/>
        <v>22</v>
      </c>
      <c r="B29">
        <v>1</v>
      </c>
      <c r="C29" s="17">
        <v>0</v>
      </c>
      <c r="D29" s="1">
        <f t="shared" si="0"/>
        <v>0</v>
      </c>
      <c r="E29" s="21">
        <f t="shared" ca="1" si="4"/>
        <v>102.17132383030305</v>
      </c>
      <c r="F29" s="1">
        <f ca="1">E28*G28</f>
        <v>14.076174330951988</v>
      </c>
      <c r="G29" s="6">
        <f ca="1">G28</f>
        <v>0.12999999999999998</v>
      </c>
      <c r="H29" s="23">
        <f t="shared" si="1"/>
        <v>48</v>
      </c>
      <c r="I29" s="23">
        <f t="shared" si="2"/>
        <v>120</v>
      </c>
      <c r="K29" s="1"/>
      <c r="L29" s="1"/>
      <c r="M29" s="4"/>
    </row>
    <row r="30" spans="1:18">
      <c r="A30">
        <f t="shared" si="3"/>
        <v>23</v>
      </c>
      <c r="B30">
        <v>1</v>
      </c>
      <c r="C30" s="17">
        <v>0</v>
      </c>
      <c r="D30" s="1">
        <f t="shared" si="0"/>
        <v>0</v>
      </c>
      <c r="E30" s="21">
        <f t="shared" ca="1" si="4"/>
        <v>88.095149499351066</v>
      </c>
      <c r="F30" s="1">
        <f ca="1">E29*G29</f>
        <v>13.282272097939394</v>
      </c>
      <c r="G30" s="6">
        <f t="shared" ref="G30:G34" ca="1" si="8">G29</f>
        <v>0.12999999999999998</v>
      </c>
      <c r="H30" s="23">
        <f t="shared" si="1"/>
        <v>48</v>
      </c>
      <c r="I30" s="23">
        <f t="shared" si="2"/>
        <v>120</v>
      </c>
      <c r="K30" s="1"/>
      <c r="L30" s="1" t="s">
        <v>13</v>
      </c>
      <c r="M30" s="4"/>
    </row>
    <row r="31" spans="1:18">
      <c r="A31" s="7">
        <f t="shared" si="3"/>
        <v>24</v>
      </c>
      <c r="B31" s="7">
        <v>1</v>
      </c>
      <c r="C31" s="17">
        <v>0</v>
      </c>
      <c r="D31" s="1">
        <f t="shared" si="0"/>
        <v>0</v>
      </c>
      <c r="E31" s="21">
        <f t="shared" ca="1" si="4"/>
        <v>74.812877401411669</v>
      </c>
      <c r="F31" s="8">
        <f ca="1">E30*G30</f>
        <v>11.452369434915637</v>
      </c>
      <c r="G31" s="6">
        <f t="shared" ca="1" si="8"/>
        <v>0.12999999999999998</v>
      </c>
      <c r="H31" s="23">
        <f t="shared" si="1"/>
        <v>48</v>
      </c>
      <c r="I31" s="23">
        <f t="shared" si="2"/>
        <v>120</v>
      </c>
      <c r="K31" s="1"/>
      <c r="L31" s="1"/>
      <c r="M31" s="4"/>
      <c r="N31" t="s">
        <v>13</v>
      </c>
    </row>
    <row r="32" spans="1:18">
      <c r="A32">
        <f t="shared" si="3"/>
        <v>25</v>
      </c>
      <c r="B32">
        <v>1</v>
      </c>
      <c r="C32" s="17">
        <v>0</v>
      </c>
      <c r="D32" s="1">
        <f t="shared" si="0"/>
        <v>0</v>
      </c>
      <c r="E32" s="21">
        <f t="shared" ca="1" si="4"/>
        <v>63.36050796649603</v>
      </c>
      <c r="F32" s="1">
        <f ca="1">E31*G31</f>
        <v>9.7256740621835149</v>
      </c>
      <c r="G32" s="6">
        <f t="shared" ca="1" si="8"/>
        <v>0.12999999999999998</v>
      </c>
      <c r="H32" s="23">
        <f t="shared" si="1"/>
        <v>48</v>
      </c>
      <c r="I32" s="23">
        <f t="shared" si="2"/>
        <v>120</v>
      </c>
      <c r="K32" s="1"/>
      <c r="L32" s="1" t="s">
        <v>13</v>
      </c>
      <c r="M32" s="4"/>
    </row>
    <row r="33" spans="1:16">
      <c r="A33">
        <f t="shared" si="3"/>
        <v>26</v>
      </c>
      <c r="B33">
        <v>1</v>
      </c>
      <c r="C33" s="17">
        <v>0</v>
      </c>
      <c r="D33" s="1">
        <f t="shared" si="0"/>
        <v>0</v>
      </c>
      <c r="E33" s="21">
        <f t="shared" ca="1" si="4"/>
        <v>53.634833904312515</v>
      </c>
      <c r="F33" s="1">
        <f ca="1">E32*G32</f>
        <v>8.2368660356444821</v>
      </c>
      <c r="G33" s="6">
        <f t="shared" ca="1" si="8"/>
        <v>0.12999999999999998</v>
      </c>
      <c r="H33" s="23">
        <f t="shared" si="1"/>
        <v>48</v>
      </c>
      <c r="I33" s="23">
        <f t="shared" si="2"/>
        <v>120</v>
      </c>
      <c r="K33" s="1"/>
      <c r="L33" s="1"/>
      <c r="M33" s="4"/>
    </row>
    <row r="34" spans="1:16">
      <c r="A34">
        <f t="shared" si="3"/>
        <v>27</v>
      </c>
      <c r="B34">
        <v>1</v>
      </c>
      <c r="C34" s="17">
        <v>0</v>
      </c>
      <c r="D34" s="1">
        <f t="shared" si="0"/>
        <v>0</v>
      </c>
      <c r="E34" s="21">
        <f t="shared" ca="1" si="4"/>
        <v>45.397967868668033</v>
      </c>
      <c r="F34" s="1">
        <f ca="1">E33*G33</f>
        <v>6.9725284075606258</v>
      </c>
      <c r="G34" s="6">
        <f t="shared" ca="1" si="8"/>
        <v>0.12999999999999998</v>
      </c>
      <c r="H34" s="23">
        <f t="shared" si="1"/>
        <v>48</v>
      </c>
      <c r="I34" s="23">
        <f t="shared" si="2"/>
        <v>120</v>
      </c>
      <c r="K34" s="1"/>
      <c r="L34" s="1"/>
      <c r="M34" s="4"/>
    </row>
    <row r="35" spans="1:16">
      <c r="A35">
        <f t="shared" si="3"/>
        <v>28</v>
      </c>
      <c r="B35">
        <v>1</v>
      </c>
      <c r="C35" s="17">
        <v>0</v>
      </c>
      <c r="D35" s="1">
        <f t="shared" si="0"/>
        <v>0</v>
      </c>
      <c r="E35" s="21">
        <f t="shared" ca="1" si="4"/>
        <v>38.425439461107409</v>
      </c>
      <c r="F35" s="1">
        <f ca="1">E34*G34</f>
        <v>5.9017358229268435</v>
      </c>
      <c r="G35" s="6">
        <f ca="1">+$G$3-0.04+RANDBETWEEN(0,8)/100</f>
        <v>0.16999999999999998</v>
      </c>
      <c r="H35" s="23">
        <f t="shared" si="1"/>
        <v>48</v>
      </c>
      <c r="I35" s="23">
        <f t="shared" si="2"/>
        <v>120</v>
      </c>
      <c r="K35" s="1"/>
      <c r="L35" s="1"/>
      <c r="M35" s="4"/>
    </row>
    <row r="36" spans="1:16">
      <c r="A36">
        <f t="shared" si="3"/>
        <v>29</v>
      </c>
      <c r="B36">
        <v>1</v>
      </c>
      <c r="C36" s="17">
        <v>0</v>
      </c>
      <c r="D36" s="1">
        <f t="shared" si="0"/>
        <v>0</v>
      </c>
      <c r="E36" s="21">
        <f t="shared" ca="1" si="4"/>
        <v>32.523703638180564</v>
      </c>
      <c r="F36" s="1">
        <f ca="1">E35*G35</f>
        <v>6.5323247083882592</v>
      </c>
      <c r="G36" s="6">
        <f ca="1">G35</f>
        <v>0.16999999999999998</v>
      </c>
      <c r="H36" s="23">
        <f t="shared" si="1"/>
        <v>48</v>
      </c>
      <c r="I36" s="23">
        <f t="shared" si="2"/>
        <v>120</v>
      </c>
      <c r="K36" s="1" t="s">
        <v>13</v>
      </c>
      <c r="L36" s="1"/>
      <c r="M36" s="4"/>
    </row>
    <row r="37" spans="1:16">
      <c r="A37">
        <f t="shared" si="3"/>
        <v>30</v>
      </c>
      <c r="B37">
        <v>1</v>
      </c>
      <c r="C37" s="17">
        <v>1</v>
      </c>
      <c r="D37" s="1">
        <f t="shared" si="0"/>
        <v>432</v>
      </c>
      <c r="E37" s="21">
        <f t="shared" ca="1" si="4"/>
        <v>25.991378929792305</v>
      </c>
      <c r="F37" s="1">
        <f ca="1">E36*G36</f>
        <v>5.5290296184906955</v>
      </c>
      <c r="G37" s="6">
        <f t="shared" ref="G37:G41" ca="1" si="9">G36</f>
        <v>0.16999999999999998</v>
      </c>
      <c r="H37" s="23">
        <f t="shared" si="1"/>
        <v>48</v>
      </c>
      <c r="I37" s="23">
        <f t="shared" si="2"/>
        <v>120</v>
      </c>
      <c r="K37" s="1" t="s">
        <v>13</v>
      </c>
      <c r="L37" s="1"/>
      <c r="M37" s="4"/>
    </row>
    <row r="38" spans="1:16">
      <c r="A38">
        <f t="shared" si="3"/>
        <v>31</v>
      </c>
      <c r="B38">
        <v>1</v>
      </c>
      <c r="C38" s="17">
        <v>0</v>
      </c>
      <c r="D38" s="1">
        <f t="shared" si="0"/>
        <v>0</v>
      </c>
      <c r="E38" s="21">
        <f t="shared" ca="1" si="4"/>
        <v>92.462349311301608</v>
      </c>
      <c r="F38" s="1">
        <f ca="1">E37*G37</f>
        <v>4.4185344180646915</v>
      </c>
      <c r="G38" s="6">
        <f t="shared" ca="1" si="9"/>
        <v>0.16999999999999998</v>
      </c>
      <c r="H38" s="23">
        <f t="shared" si="1"/>
        <v>48</v>
      </c>
      <c r="I38" s="23">
        <f t="shared" si="2"/>
        <v>120</v>
      </c>
      <c r="K38" s="1"/>
      <c r="L38" s="1"/>
      <c r="M38" s="4"/>
    </row>
    <row r="39" spans="1:16">
      <c r="A39">
        <f t="shared" si="3"/>
        <v>32</v>
      </c>
      <c r="B39">
        <v>1</v>
      </c>
      <c r="C39" s="17">
        <v>0</v>
      </c>
      <c r="D39" s="1">
        <f t="shared" si="0"/>
        <v>0</v>
      </c>
      <c r="E39" s="21">
        <f t="shared" ca="1" si="4"/>
        <v>88.043814893236913</v>
      </c>
      <c r="F39" s="1">
        <f ca="1">E38*G38</f>
        <v>15.718599382921273</v>
      </c>
      <c r="G39" s="6">
        <f t="shared" ca="1" si="9"/>
        <v>0.16999999999999998</v>
      </c>
      <c r="H39" s="23">
        <f t="shared" si="1"/>
        <v>48</v>
      </c>
      <c r="I39" s="23">
        <f t="shared" si="2"/>
        <v>120</v>
      </c>
      <c r="K39" s="1"/>
      <c r="L39" s="1"/>
      <c r="M39" s="4"/>
      <c r="P39" t="s">
        <v>13</v>
      </c>
    </row>
    <row r="40" spans="1:16">
      <c r="A40">
        <f t="shared" si="3"/>
        <v>33</v>
      </c>
      <c r="B40">
        <v>1</v>
      </c>
      <c r="C40" s="17">
        <v>0</v>
      </c>
      <c r="D40" s="1">
        <f t="shared" si="0"/>
        <v>0</v>
      </c>
      <c r="E40" s="21">
        <f t="shared" ca="1" si="4"/>
        <v>72.325215510315644</v>
      </c>
      <c r="F40" s="1">
        <f ca="1">E39*G39</f>
        <v>14.967448531850273</v>
      </c>
      <c r="G40" s="6">
        <f t="shared" ca="1" si="9"/>
        <v>0.16999999999999998</v>
      </c>
      <c r="H40" s="23">
        <f t="shared" si="1"/>
        <v>48</v>
      </c>
      <c r="I40" s="23">
        <f t="shared" si="2"/>
        <v>120</v>
      </c>
      <c r="K40" s="1"/>
      <c r="L40" s="1"/>
      <c r="M40" s="4"/>
    </row>
    <row r="41" spans="1:16">
      <c r="A41">
        <f t="shared" si="3"/>
        <v>34</v>
      </c>
      <c r="B41">
        <v>1</v>
      </c>
      <c r="C41" s="17">
        <v>0</v>
      </c>
      <c r="D41" s="1">
        <f t="shared" si="0"/>
        <v>0</v>
      </c>
      <c r="E41" s="21">
        <f t="shared" ca="1" si="4"/>
        <v>57.357766978465371</v>
      </c>
      <c r="F41" s="1">
        <f ca="1">E40*G40</f>
        <v>12.295286636753659</v>
      </c>
      <c r="G41" s="6">
        <f t="shared" ca="1" si="9"/>
        <v>0.16999999999999998</v>
      </c>
      <c r="H41" s="23">
        <f t="shared" si="1"/>
        <v>48</v>
      </c>
      <c r="I41" s="23">
        <f t="shared" si="2"/>
        <v>120</v>
      </c>
      <c r="K41" s="1"/>
      <c r="L41" s="1"/>
      <c r="M41" s="4"/>
    </row>
    <row r="42" spans="1:16">
      <c r="A42">
        <f t="shared" si="3"/>
        <v>35</v>
      </c>
      <c r="B42">
        <v>1</v>
      </c>
      <c r="C42" s="17">
        <v>0</v>
      </c>
      <c r="D42" s="1">
        <f t="shared" si="0"/>
        <v>0</v>
      </c>
      <c r="E42" s="21">
        <f t="shared" ca="1" si="4"/>
        <v>45.062480341711712</v>
      </c>
      <c r="F42" s="1">
        <f ca="1">E41*G41</f>
        <v>9.7508203863391127</v>
      </c>
      <c r="G42" s="6">
        <f ca="1">+$G$3-0.04+RANDBETWEEN(0,8)/100</f>
        <v>0.15</v>
      </c>
      <c r="H42" s="23">
        <f t="shared" si="1"/>
        <v>48</v>
      </c>
      <c r="I42" s="23">
        <f t="shared" si="2"/>
        <v>120</v>
      </c>
      <c r="K42" s="1"/>
      <c r="L42" s="1"/>
      <c r="M42" s="4"/>
    </row>
    <row r="43" spans="1:16">
      <c r="A43">
        <f t="shared" si="3"/>
        <v>36</v>
      </c>
      <c r="B43">
        <v>1</v>
      </c>
      <c r="C43" s="17">
        <v>0</v>
      </c>
      <c r="D43" s="1">
        <f t="shared" si="0"/>
        <v>0</v>
      </c>
      <c r="E43" s="21">
        <f t="shared" ca="1" si="4"/>
        <v>35.311659955372598</v>
      </c>
      <c r="F43" s="1">
        <f ca="1">E42*G42</f>
        <v>6.759372051256757</v>
      </c>
      <c r="G43" s="6">
        <f ca="1">G42</f>
        <v>0.15</v>
      </c>
      <c r="H43" s="23">
        <f t="shared" si="1"/>
        <v>48</v>
      </c>
      <c r="I43" s="23">
        <f t="shared" si="2"/>
        <v>120</v>
      </c>
      <c r="K43" s="1"/>
      <c r="L43" s="1"/>
      <c r="M43" s="4"/>
    </row>
    <row r="44" spans="1:16">
      <c r="A44">
        <f t="shared" si="3"/>
        <v>37</v>
      </c>
      <c r="B44">
        <v>1</v>
      </c>
      <c r="C44" s="17">
        <v>1</v>
      </c>
      <c r="D44" s="1">
        <f t="shared" si="0"/>
        <v>432</v>
      </c>
      <c r="E44" s="21">
        <f t="shared" ca="1" si="4"/>
        <v>28.55228790411584</v>
      </c>
      <c r="F44" s="1">
        <f ca="1">E43*G43</f>
        <v>5.2967489933058891</v>
      </c>
      <c r="G44" s="6">
        <f t="shared" ref="G44:G48" ca="1" si="10">G43</f>
        <v>0.15</v>
      </c>
      <c r="H44" s="23">
        <f t="shared" si="1"/>
        <v>48</v>
      </c>
      <c r="I44" s="23">
        <f t="shared" si="2"/>
        <v>120</v>
      </c>
      <c r="K44" s="1"/>
      <c r="L44" s="1"/>
      <c r="M44" s="4"/>
    </row>
    <row r="45" spans="1:16">
      <c r="A45">
        <f t="shared" si="3"/>
        <v>38</v>
      </c>
      <c r="B45">
        <v>1</v>
      </c>
      <c r="C45" s="17">
        <v>0</v>
      </c>
      <c r="D45" s="1">
        <f t="shared" si="0"/>
        <v>0</v>
      </c>
      <c r="E45" s="21">
        <f t="shared" ca="1" si="4"/>
        <v>95.25553891080996</v>
      </c>
      <c r="F45" s="1">
        <f ca="1">E44*G44</f>
        <v>4.2828431856173754</v>
      </c>
      <c r="G45" s="6">
        <f t="shared" ca="1" si="10"/>
        <v>0.15</v>
      </c>
      <c r="H45" s="23">
        <f t="shared" si="1"/>
        <v>48</v>
      </c>
      <c r="I45" s="23">
        <f t="shared" si="2"/>
        <v>120</v>
      </c>
      <c r="K45" s="1"/>
      <c r="L45" s="1"/>
      <c r="M45" s="4"/>
    </row>
    <row r="46" spans="1:16">
      <c r="A46">
        <f t="shared" si="3"/>
        <v>39</v>
      </c>
      <c r="B46">
        <v>1</v>
      </c>
      <c r="C46" s="17">
        <v>0</v>
      </c>
      <c r="D46" s="1">
        <f t="shared" si="0"/>
        <v>0</v>
      </c>
      <c r="E46" s="21">
        <f t="shared" ca="1" si="4"/>
        <v>90.97269572519258</v>
      </c>
      <c r="F46" s="1">
        <f ca="1">E45*G45</f>
        <v>14.288330836621494</v>
      </c>
      <c r="G46" s="6">
        <f t="shared" ca="1" si="10"/>
        <v>0.15</v>
      </c>
      <c r="H46" s="23">
        <f t="shared" si="1"/>
        <v>48</v>
      </c>
      <c r="I46" s="23">
        <f t="shared" si="2"/>
        <v>120</v>
      </c>
      <c r="K46" s="1"/>
      <c r="L46" s="1"/>
      <c r="M46" s="4"/>
    </row>
    <row r="47" spans="1:16">
      <c r="A47">
        <f t="shared" si="3"/>
        <v>40</v>
      </c>
      <c r="B47">
        <v>1</v>
      </c>
      <c r="C47" s="17">
        <v>0</v>
      </c>
      <c r="D47" s="1">
        <f t="shared" si="0"/>
        <v>0</v>
      </c>
      <c r="E47" s="21">
        <f t="shared" ca="1" si="4"/>
        <v>76.684364888571082</v>
      </c>
      <c r="F47" s="1">
        <f ca="1">E46*G46</f>
        <v>13.645904358778887</v>
      </c>
      <c r="G47" s="6">
        <f t="shared" ca="1" si="10"/>
        <v>0.15</v>
      </c>
      <c r="H47" s="23">
        <f t="shared" si="1"/>
        <v>48</v>
      </c>
      <c r="I47" s="23">
        <f t="shared" si="2"/>
        <v>120</v>
      </c>
      <c r="K47" s="1"/>
      <c r="L47" s="1"/>
      <c r="M47" s="4"/>
    </row>
    <row r="48" spans="1:16">
      <c r="A48">
        <f t="shared" si="3"/>
        <v>41</v>
      </c>
      <c r="B48">
        <v>1</v>
      </c>
      <c r="C48" s="17">
        <v>0</v>
      </c>
      <c r="D48" s="1">
        <f t="shared" si="0"/>
        <v>0</v>
      </c>
      <c r="E48" s="21">
        <f t="shared" ca="1" si="4"/>
        <v>63.038460529792196</v>
      </c>
      <c r="F48" s="1">
        <f ca="1">E47*G47</f>
        <v>11.502654733285661</v>
      </c>
      <c r="G48" s="6">
        <f t="shared" ca="1" si="10"/>
        <v>0.15</v>
      </c>
      <c r="H48" s="23">
        <f t="shared" si="1"/>
        <v>48</v>
      </c>
      <c r="I48" s="23">
        <f t="shared" si="2"/>
        <v>120</v>
      </c>
      <c r="K48" s="1"/>
      <c r="L48" s="1"/>
      <c r="M48" s="4"/>
    </row>
    <row r="49" spans="1:16">
      <c r="A49">
        <f t="shared" si="3"/>
        <v>42</v>
      </c>
      <c r="B49">
        <v>1</v>
      </c>
      <c r="C49" s="17">
        <v>0</v>
      </c>
      <c r="D49" s="1">
        <f t="shared" si="0"/>
        <v>0</v>
      </c>
      <c r="E49" s="21">
        <f t="shared" ca="1" si="4"/>
        <v>51.535805796506537</v>
      </c>
      <c r="F49" s="1">
        <f ca="1">E48*G48</f>
        <v>9.4557690794688298</v>
      </c>
      <c r="G49" s="6">
        <f ca="1">+$G$3-0.04+RANDBETWEEN(0,8)/100</f>
        <v>0.10999999999999999</v>
      </c>
      <c r="H49" s="23">
        <f t="shared" si="1"/>
        <v>48</v>
      </c>
      <c r="I49" s="23">
        <f t="shared" si="2"/>
        <v>120</v>
      </c>
      <c r="K49" s="1"/>
      <c r="L49" s="1"/>
      <c r="M49" s="4"/>
    </row>
    <row r="50" spans="1:16">
      <c r="A50">
        <f t="shared" si="3"/>
        <v>43</v>
      </c>
      <c r="B50">
        <v>1</v>
      </c>
      <c r="C50" s="17">
        <v>0</v>
      </c>
      <c r="D50" s="1">
        <f t="shared" si="0"/>
        <v>0</v>
      </c>
      <c r="E50" s="21">
        <f t="shared" ca="1" si="4"/>
        <v>42.080036717037707</v>
      </c>
      <c r="F50" s="1">
        <f ca="1">E49*G49</f>
        <v>5.6689386376157183</v>
      </c>
      <c r="G50" s="6">
        <f ca="1">G49</f>
        <v>0.10999999999999999</v>
      </c>
      <c r="H50" s="23">
        <f t="shared" si="1"/>
        <v>48</v>
      </c>
      <c r="I50" s="23">
        <f t="shared" si="2"/>
        <v>120</v>
      </c>
      <c r="K50" s="1"/>
      <c r="L50" s="1"/>
      <c r="M50" s="4"/>
    </row>
    <row r="51" spans="1:16">
      <c r="A51">
        <f t="shared" si="3"/>
        <v>44</v>
      </c>
      <c r="B51">
        <v>1</v>
      </c>
      <c r="C51" s="17">
        <v>1</v>
      </c>
      <c r="D51" s="1">
        <f t="shared" si="0"/>
        <v>432</v>
      </c>
      <c r="E51" s="21">
        <f t="shared" ca="1" si="4"/>
        <v>36.41109807942199</v>
      </c>
      <c r="F51" s="1">
        <f ca="1">E50*G50</f>
        <v>4.6288040388741472</v>
      </c>
      <c r="G51" s="6">
        <f t="shared" ref="G51:G55" ca="1" si="11">G50</f>
        <v>0.10999999999999999</v>
      </c>
      <c r="H51" s="23">
        <f t="shared" si="1"/>
        <v>48</v>
      </c>
      <c r="I51" s="23">
        <f t="shared" si="2"/>
        <v>120</v>
      </c>
      <c r="K51" s="1"/>
      <c r="L51" s="1"/>
      <c r="M51" s="4"/>
    </row>
    <row r="52" spans="1:16">
      <c r="A52">
        <f t="shared" si="3"/>
        <v>45</v>
      </c>
      <c r="B52">
        <v>1</v>
      </c>
      <c r="C52" s="17">
        <v>0</v>
      </c>
      <c r="D52" s="1">
        <f t="shared" si="0"/>
        <v>0</v>
      </c>
      <c r="E52" s="21">
        <f t="shared" ca="1" si="4"/>
        <v>103.78229404054784</v>
      </c>
      <c r="F52" s="1">
        <f ca="1">E51*G51</f>
        <v>4.005220788736418</v>
      </c>
      <c r="G52" s="6">
        <f t="shared" ca="1" si="11"/>
        <v>0.10999999999999999</v>
      </c>
      <c r="H52" s="23">
        <f t="shared" si="1"/>
        <v>48</v>
      </c>
      <c r="I52" s="23">
        <f t="shared" si="2"/>
        <v>120</v>
      </c>
      <c r="K52" s="1"/>
      <c r="L52" s="1"/>
      <c r="M52" s="4"/>
      <c r="P52" t="s">
        <v>13</v>
      </c>
    </row>
    <row r="53" spans="1:16">
      <c r="A53">
        <f t="shared" si="3"/>
        <v>46</v>
      </c>
      <c r="B53">
        <v>1</v>
      </c>
      <c r="C53" s="17">
        <v>0</v>
      </c>
      <c r="D53" s="1">
        <f t="shared" si="0"/>
        <v>0</v>
      </c>
      <c r="E53" s="21">
        <f t="shared" ca="1" si="4"/>
        <v>99.777073251811416</v>
      </c>
      <c r="F53" s="1">
        <f ca="1">E52*G52</f>
        <v>11.416052344460262</v>
      </c>
      <c r="G53" s="6">
        <f t="shared" ca="1" si="11"/>
        <v>0.10999999999999999</v>
      </c>
      <c r="H53" s="23">
        <f t="shared" si="1"/>
        <v>48</v>
      </c>
      <c r="I53" s="23">
        <f t="shared" si="2"/>
        <v>120</v>
      </c>
      <c r="K53" s="1"/>
      <c r="L53" s="1"/>
      <c r="M53" s="4"/>
    </row>
    <row r="54" spans="1:16">
      <c r="A54">
        <f t="shared" si="3"/>
        <v>47</v>
      </c>
      <c r="B54">
        <v>1</v>
      </c>
      <c r="C54" s="17">
        <v>0</v>
      </c>
      <c r="D54" s="1">
        <f t="shared" si="0"/>
        <v>0</v>
      </c>
      <c r="E54" s="21">
        <f t="shared" ca="1" si="4"/>
        <v>88.361020907351161</v>
      </c>
      <c r="F54" s="1">
        <f ca="1">E53*G53</f>
        <v>10.975478057699254</v>
      </c>
      <c r="G54" s="6">
        <f t="shared" ca="1" si="11"/>
        <v>0.10999999999999999</v>
      </c>
      <c r="H54" s="23">
        <f t="shared" si="1"/>
        <v>48</v>
      </c>
      <c r="I54" s="23">
        <f t="shared" si="2"/>
        <v>120</v>
      </c>
      <c r="K54" s="1"/>
      <c r="L54" s="1"/>
      <c r="M54" s="4"/>
    </row>
    <row r="55" spans="1:16">
      <c r="A55" s="7">
        <f t="shared" si="3"/>
        <v>48</v>
      </c>
      <c r="B55" s="7">
        <v>1</v>
      </c>
      <c r="C55" s="17">
        <v>0</v>
      </c>
      <c r="D55" s="1">
        <f t="shared" si="0"/>
        <v>0</v>
      </c>
      <c r="E55" s="21">
        <f t="shared" ca="1" si="4"/>
        <v>77.385542849651912</v>
      </c>
      <c r="F55" s="8">
        <f ca="1">E54*G54</f>
        <v>9.7197122998086272</v>
      </c>
      <c r="G55" s="6">
        <f t="shared" ca="1" si="11"/>
        <v>0.10999999999999999</v>
      </c>
      <c r="H55" s="23">
        <f t="shared" si="1"/>
        <v>48</v>
      </c>
      <c r="I55" s="23">
        <f t="shared" si="2"/>
        <v>120</v>
      </c>
      <c r="K55" s="1"/>
      <c r="L55" s="1"/>
      <c r="M55" s="4"/>
    </row>
    <row r="56" spans="1:16">
      <c r="A56">
        <f t="shared" si="3"/>
        <v>49</v>
      </c>
      <c r="B56">
        <v>1</v>
      </c>
      <c r="C56" s="17">
        <v>0</v>
      </c>
      <c r="D56" s="1">
        <f t="shared" si="0"/>
        <v>0</v>
      </c>
      <c r="E56" s="21">
        <f t="shared" ca="1" si="4"/>
        <v>67.665830549843292</v>
      </c>
      <c r="F56" s="1">
        <f ca="1">E55*G55</f>
        <v>8.5124097134617092</v>
      </c>
      <c r="G56" s="6">
        <f ca="1">+$G$3-0.04+RANDBETWEEN(0,8)/100</f>
        <v>0.11999999999999998</v>
      </c>
      <c r="H56" s="23">
        <f t="shared" si="1"/>
        <v>48</v>
      </c>
      <c r="I56" s="23">
        <f t="shared" si="2"/>
        <v>120</v>
      </c>
      <c r="K56" s="1"/>
      <c r="L56" s="1"/>
      <c r="M56" s="4"/>
    </row>
    <row r="57" spans="1:16">
      <c r="A57">
        <f t="shared" si="3"/>
        <v>50</v>
      </c>
      <c r="B57">
        <v>1</v>
      </c>
      <c r="C57" s="17">
        <v>0</v>
      </c>
      <c r="D57" s="1">
        <f t="shared" si="0"/>
        <v>0</v>
      </c>
      <c r="E57" s="21">
        <f t="shared" ca="1" si="4"/>
        <v>59.153420836381585</v>
      </c>
      <c r="F57" s="1">
        <f ca="1">E56*G56</f>
        <v>8.1198996659811939</v>
      </c>
      <c r="G57" s="6">
        <f ca="1">G56</f>
        <v>0.11999999999999998</v>
      </c>
      <c r="H57" s="23">
        <f t="shared" si="1"/>
        <v>48</v>
      </c>
      <c r="I57" s="23">
        <f t="shared" si="2"/>
        <v>120</v>
      </c>
      <c r="K57" s="1"/>
      <c r="L57" s="1"/>
      <c r="M57" s="4"/>
    </row>
    <row r="58" spans="1:16">
      <c r="A58">
        <f t="shared" si="3"/>
        <v>51</v>
      </c>
      <c r="B58">
        <v>1</v>
      </c>
      <c r="C58" s="17">
        <v>0</v>
      </c>
      <c r="D58" s="1">
        <f t="shared" si="0"/>
        <v>0</v>
      </c>
      <c r="E58" s="21">
        <f t="shared" ca="1" si="4"/>
        <v>51.033521170400391</v>
      </c>
      <c r="F58" s="1">
        <f ca="1">E57*G57</f>
        <v>7.0984105003657891</v>
      </c>
      <c r="G58" s="6">
        <f t="shared" ref="G58:G62" ca="1" si="12">G57</f>
        <v>0.11999999999999998</v>
      </c>
      <c r="H58" s="23">
        <f t="shared" si="1"/>
        <v>48</v>
      </c>
      <c r="I58" s="23">
        <f t="shared" si="2"/>
        <v>120</v>
      </c>
      <c r="K58" s="1"/>
      <c r="L58" s="1"/>
      <c r="M58" s="4"/>
    </row>
    <row r="59" spans="1:16">
      <c r="A59">
        <f t="shared" si="3"/>
        <v>52</v>
      </c>
      <c r="B59">
        <v>1</v>
      </c>
      <c r="C59" s="17">
        <v>0</v>
      </c>
      <c r="D59" s="1">
        <f t="shared" si="0"/>
        <v>0</v>
      </c>
      <c r="E59" s="21">
        <f t="shared" ca="1" si="4"/>
        <v>43.935110670034604</v>
      </c>
      <c r="F59" s="1">
        <f ca="1">E58*G58</f>
        <v>6.1240225404480464</v>
      </c>
      <c r="G59" s="6">
        <f t="shared" ca="1" si="12"/>
        <v>0.11999999999999998</v>
      </c>
      <c r="H59" s="23">
        <f t="shared" si="1"/>
        <v>48</v>
      </c>
      <c r="I59" s="23">
        <f t="shared" si="2"/>
        <v>120</v>
      </c>
      <c r="K59" s="1"/>
      <c r="L59" s="1"/>
      <c r="M59" s="4"/>
    </row>
    <row r="60" spans="1:16">
      <c r="A60">
        <f t="shared" si="3"/>
        <v>53</v>
      </c>
      <c r="B60">
        <v>1</v>
      </c>
      <c r="C60" s="17">
        <v>0</v>
      </c>
      <c r="D60" s="1">
        <f t="shared" si="0"/>
        <v>0</v>
      </c>
      <c r="E60" s="21">
        <f t="shared" ca="1" si="4"/>
        <v>37.811088129586558</v>
      </c>
      <c r="F60" s="1">
        <f ca="1">E59*G59</f>
        <v>5.2722132804041513</v>
      </c>
      <c r="G60" s="6">
        <f t="shared" ca="1" si="12"/>
        <v>0.11999999999999998</v>
      </c>
      <c r="H60" s="23">
        <f t="shared" si="1"/>
        <v>48</v>
      </c>
      <c r="I60" s="23">
        <f t="shared" si="2"/>
        <v>120</v>
      </c>
      <c r="K60" s="1"/>
      <c r="L60" s="1"/>
      <c r="M60" s="4"/>
    </row>
    <row r="61" spans="1:16">
      <c r="A61">
        <f t="shared" si="3"/>
        <v>54</v>
      </c>
      <c r="B61">
        <v>1</v>
      </c>
      <c r="C61" s="17">
        <v>1</v>
      </c>
      <c r="D61" s="1">
        <f t="shared" si="0"/>
        <v>432</v>
      </c>
      <c r="E61" s="21">
        <f t="shared" ca="1" si="4"/>
        <v>32.538874849182406</v>
      </c>
      <c r="F61" s="1">
        <f ca="1">E60*G60</f>
        <v>4.5373305755503859</v>
      </c>
      <c r="G61" s="6">
        <f t="shared" ca="1" si="12"/>
        <v>0.11999999999999998</v>
      </c>
      <c r="H61" s="23">
        <f t="shared" si="1"/>
        <v>48</v>
      </c>
      <c r="I61" s="23">
        <f t="shared" si="2"/>
        <v>120</v>
      </c>
      <c r="K61" s="1"/>
      <c r="L61" s="1"/>
      <c r="M61" s="4"/>
    </row>
    <row r="62" spans="1:16">
      <c r="A62">
        <f t="shared" si="3"/>
        <v>55</v>
      </c>
      <c r="B62">
        <v>1</v>
      </c>
      <c r="C62" s="17">
        <v>0</v>
      </c>
      <c r="D62" s="1">
        <f t="shared" si="0"/>
        <v>0</v>
      </c>
      <c r="E62" s="21">
        <f t="shared" ca="1" si="4"/>
        <v>100.00154427363202</v>
      </c>
      <c r="F62" s="1">
        <f ca="1">E61*G61</f>
        <v>3.9046649819018882</v>
      </c>
      <c r="G62" s="6">
        <f t="shared" ca="1" si="12"/>
        <v>0.11999999999999998</v>
      </c>
      <c r="H62" s="23">
        <f t="shared" si="1"/>
        <v>48</v>
      </c>
      <c r="I62" s="23">
        <f t="shared" si="2"/>
        <v>120</v>
      </c>
      <c r="K62" s="1"/>
      <c r="L62" s="1"/>
      <c r="M62" s="4"/>
    </row>
    <row r="63" spans="1:16">
      <c r="A63">
        <f t="shared" si="3"/>
        <v>56</v>
      </c>
      <c r="B63">
        <v>1</v>
      </c>
      <c r="C63" s="17">
        <v>0</v>
      </c>
      <c r="D63" s="1">
        <f t="shared" si="0"/>
        <v>0</v>
      </c>
      <c r="E63" s="21">
        <f t="shared" ca="1" si="4"/>
        <v>96.096879291730133</v>
      </c>
      <c r="F63" s="1">
        <f ca="1">E62*G62</f>
        <v>12.000185312835841</v>
      </c>
      <c r="G63" s="6">
        <f ca="1">+$G$3-0.04+RANDBETWEEN(0,8)/100</f>
        <v>0.13999999999999999</v>
      </c>
      <c r="H63" s="23">
        <f t="shared" si="1"/>
        <v>48</v>
      </c>
      <c r="I63" s="23">
        <f t="shared" si="2"/>
        <v>120</v>
      </c>
      <c r="K63" s="1"/>
      <c r="L63" s="1"/>
      <c r="M63" s="4"/>
    </row>
    <row r="64" spans="1:16">
      <c r="A64">
        <f t="shared" si="3"/>
        <v>57</v>
      </c>
      <c r="B64">
        <v>1</v>
      </c>
      <c r="C64" s="17">
        <v>0</v>
      </c>
      <c r="D64" s="1">
        <f t="shared" si="0"/>
        <v>0</v>
      </c>
      <c r="E64" s="21">
        <f t="shared" ca="1" si="4"/>
        <v>84.096693978894294</v>
      </c>
      <c r="F64" s="1">
        <f ca="1">E63*G63</f>
        <v>13.453563100842217</v>
      </c>
      <c r="G64" s="6">
        <f ca="1">G63</f>
        <v>0.13999999999999999</v>
      </c>
      <c r="H64" s="23">
        <f t="shared" si="1"/>
        <v>48</v>
      </c>
      <c r="I64" s="23">
        <f t="shared" si="2"/>
        <v>120</v>
      </c>
    </row>
    <row r="65" spans="1:12">
      <c r="A65">
        <f t="shared" si="3"/>
        <v>58</v>
      </c>
      <c r="B65">
        <v>1</v>
      </c>
      <c r="C65" s="17">
        <v>0</v>
      </c>
      <c r="D65" s="1">
        <f t="shared" si="0"/>
        <v>0</v>
      </c>
      <c r="E65" s="21">
        <f t="shared" ca="1" si="4"/>
        <v>70.643130878052077</v>
      </c>
      <c r="F65" s="1">
        <f ca="1">E64*G64</f>
        <v>11.773537157045199</v>
      </c>
      <c r="G65" s="6">
        <f t="shared" ref="G65:G69" ca="1" si="13">G64</f>
        <v>0.13999999999999999</v>
      </c>
      <c r="H65" s="23">
        <f t="shared" si="1"/>
        <v>48</v>
      </c>
      <c r="I65" s="23">
        <f t="shared" si="2"/>
        <v>120</v>
      </c>
    </row>
    <row r="66" spans="1:12">
      <c r="A66">
        <f t="shared" si="3"/>
        <v>59</v>
      </c>
      <c r="B66">
        <v>1</v>
      </c>
      <c r="C66" s="17">
        <v>0</v>
      </c>
      <c r="D66" s="1">
        <f t="shared" si="0"/>
        <v>0</v>
      </c>
      <c r="E66" s="21">
        <f t="shared" ca="1" si="4"/>
        <v>58.869593721006879</v>
      </c>
      <c r="F66" s="1">
        <f ca="1">E65*G65</f>
        <v>9.890038322927289</v>
      </c>
      <c r="G66" s="6">
        <f t="shared" ca="1" si="13"/>
        <v>0.13999999999999999</v>
      </c>
      <c r="H66" s="23">
        <f t="shared" si="1"/>
        <v>48</v>
      </c>
      <c r="I66" s="23">
        <f t="shared" si="2"/>
        <v>120</v>
      </c>
    </row>
    <row r="67" spans="1:12">
      <c r="A67">
        <f t="shared" si="3"/>
        <v>60</v>
      </c>
      <c r="B67">
        <v>1</v>
      </c>
      <c r="C67" s="17">
        <v>0</v>
      </c>
      <c r="D67" s="1">
        <f t="shared" si="0"/>
        <v>0</v>
      </c>
      <c r="E67" s="21">
        <f t="shared" ca="1" si="4"/>
        <v>48.97955539807959</v>
      </c>
      <c r="F67" s="1">
        <f ca="1">E66*G66</f>
        <v>8.2417431209409617</v>
      </c>
      <c r="G67" s="6">
        <f t="shared" ca="1" si="13"/>
        <v>0.13999999999999999</v>
      </c>
      <c r="H67" s="23">
        <f t="shared" si="1"/>
        <v>48</v>
      </c>
      <c r="I67" s="23">
        <f t="shared" si="2"/>
        <v>120</v>
      </c>
    </row>
    <row r="68" spans="1:12">
      <c r="A68">
        <f t="shared" si="3"/>
        <v>61</v>
      </c>
      <c r="B68">
        <v>1</v>
      </c>
      <c r="C68" s="17">
        <v>1</v>
      </c>
      <c r="D68" s="1">
        <f t="shared" si="0"/>
        <v>432</v>
      </c>
      <c r="E68" s="21">
        <f t="shared" ca="1" si="4"/>
        <v>40.73781227713863</v>
      </c>
      <c r="F68" s="1">
        <f ca="1">E67*G67</f>
        <v>6.8571377557311415</v>
      </c>
      <c r="G68" s="6">
        <f t="shared" ca="1" si="13"/>
        <v>0.13999999999999999</v>
      </c>
      <c r="H68" s="23">
        <f t="shared" si="1"/>
        <v>48</v>
      </c>
      <c r="I68" s="23">
        <f t="shared" si="2"/>
        <v>120</v>
      </c>
    </row>
    <row r="69" spans="1:12">
      <c r="A69">
        <f t="shared" si="3"/>
        <v>62</v>
      </c>
      <c r="B69">
        <v>1</v>
      </c>
      <c r="C69" s="17">
        <v>0</v>
      </c>
      <c r="D69" s="1">
        <f t="shared" si="0"/>
        <v>0</v>
      </c>
      <c r="E69" s="21">
        <f t="shared" ca="1" si="4"/>
        <v>105.88067452140749</v>
      </c>
      <c r="F69" s="1">
        <f ca="1">E68*G68</f>
        <v>5.7032937187994079</v>
      </c>
      <c r="G69" s="6">
        <f t="shared" ca="1" si="13"/>
        <v>0.13999999999999999</v>
      </c>
      <c r="H69" s="23">
        <f t="shared" si="1"/>
        <v>48</v>
      </c>
      <c r="I69" s="23">
        <f t="shared" si="2"/>
        <v>120</v>
      </c>
    </row>
    <row r="70" spans="1:12">
      <c r="A70">
        <f t="shared" si="3"/>
        <v>63</v>
      </c>
      <c r="B70">
        <v>1</v>
      </c>
      <c r="C70" s="17">
        <v>0</v>
      </c>
      <c r="D70" s="1">
        <f t="shared" si="0"/>
        <v>0</v>
      </c>
      <c r="E70" s="21">
        <f t="shared" ca="1" si="4"/>
        <v>100.17738080260807</v>
      </c>
      <c r="F70" s="1">
        <f ca="1">E69*G69</f>
        <v>14.823294432997047</v>
      </c>
      <c r="G70" s="6">
        <f ca="1">+$G$3-0.04+RANDBETWEEN(0,8)/100</f>
        <v>0.12999999999999998</v>
      </c>
      <c r="H70" s="23">
        <f t="shared" si="1"/>
        <v>48</v>
      </c>
      <c r="I70" s="23">
        <f t="shared" si="2"/>
        <v>120</v>
      </c>
    </row>
    <row r="71" spans="1:12">
      <c r="A71">
        <f t="shared" si="3"/>
        <v>64</v>
      </c>
      <c r="B71">
        <v>1</v>
      </c>
      <c r="C71" s="17">
        <v>0</v>
      </c>
      <c r="D71" s="1">
        <f t="shared" si="0"/>
        <v>0</v>
      </c>
      <c r="E71" s="21">
        <f t="shared" ca="1" si="4"/>
        <v>85.354086369611025</v>
      </c>
      <c r="F71" s="1">
        <f ca="1">E70*G70</f>
        <v>13.023059504339047</v>
      </c>
      <c r="G71" s="6">
        <f ca="1">G70</f>
        <v>0.12999999999999998</v>
      </c>
      <c r="H71" s="23">
        <f t="shared" si="1"/>
        <v>48</v>
      </c>
      <c r="I71" s="23">
        <f t="shared" si="2"/>
        <v>120</v>
      </c>
    </row>
    <row r="72" spans="1:12">
      <c r="A72">
        <f t="shared" si="3"/>
        <v>65</v>
      </c>
      <c r="B72">
        <v>1</v>
      </c>
      <c r="C72" s="17">
        <v>0</v>
      </c>
      <c r="D72" s="1">
        <f t="shared" ref="D72:D117" si="14">IF(C72=1,$G$2,0)</f>
        <v>0</v>
      </c>
      <c r="E72" s="21">
        <f t="shared" ca="1" si="4"/>
        <v>72.33102686527198</v>
      </c>
      <c r="F72" s="1">
        <f ca="1">E71*G71</f>
        <v>11.096031228049432</v>
      </c>
      <c r="G72" s="6">
        <f t="shared" ref="G72:G76" ca="1" si="15">G71</f>
        <v>0.12999999999999998</v>
      </c>
      <c r="H72" s="23">
        <f t="shared" ref="H72:H117" si="16">$J$1</f>
        <v>48</v>
      </c>
      <c r="I72" s="23">
        <f t="shared" ref="I72:I117" si="17">$J$2</f>
        <v>120</v>
      </c>
    </row>
    <row r="73" spans="1:12">
      <c r="A73">
        <f t="shared" ref="A73:A117" si="18">A72+B72</f>
        <v>66</v>
      </c>
      <c r="B73">
        <v>1</v>
      </c>
      <c r="C73" s="17">
        <v>0</v>
      </c>
      <c r="D73" s="1">
        <f t="shared" si="14"/>
        <v>0</v>
      </c>
      <c r="E73" s="21">
        <f t="shared" ref="E73:E117" ca="1" si="19">E72+(D72/$G$1-F72)*B72</f>
        <v>61.234995637222546</v>
      </c>
      <c r="F73" s="1">
        <f ca="1">E72*G72</f>
        <v>9.4030334924853562</v>
      </c>
      <c r="G73" s="6">
        <f t="shared" ca="1" si="15"/>
        <v>0.12999999999999998</v>
      </c>
      <c r="H73" s="23">
        <f t="shared" si="16"/>
        <v>48</v>
      </c>
      <c r="I73" s="23">
        <f t="shared" si="17"/>
        <v>120</v>
      </c>
    </row>
    <row r="74" spans="1:12">
      <c r="A74">
        <f t="shared" si="18"/>
        <v>67</v>
      </c>
      <c r="B74">
        <v>1</v>
      </c>
      <c r="C74" s="17">
        <v>0</v>
      </c>
      <c r="D74" s="1">
        <f t="shared" si="14"/>
        <v>0</v>
      </c>
      <c r="E74" s="21">
        <f t="shared" ca="1" si="19"/>
        <v>51.83196214473719</v>
      </c>
      <c r="F74" s="1">
        <f ca="1">E73*G73</f>
        <v>7.9605494328389295</v>
      </c>
      <c r="G74" s="6">
        <f t="shared" ca="1" si="15"/>
        <v>0.12999999999999998</v>
      </c>
      <c r="H74" s="23">
        <f t="shared" si="16"/>
        <v>48</v>
      </c>
      <c r="I74" s="23">
        <f t="shared" si="17"/>
        <v>120</v>
      </c>
    </row>
    <row r="75" spans="1:12">
      <c r="A75">
        <f t="shared" si="18"/>
        <v>68</v>
      </c>
      <c r="B75">
        <v>1</v>
      </c>
      <c r="C75" s="17">
        <v>1</v>
      </c>
      <c r="D75" s="1">
        <f t="shared" si="14"/>
        <v>432</v>
      </c>
      <c r="E75" s="21">
        <f t="shared" ca="1" si="19"/>
        <v>43.871412711898259</v>
      </c>
      <c r="F75" s="1">
        <f ca="1">E74*G74</f>
        <v>6.7381550788158338</v>
      </c>
      <c r="G75" s="6">
        <f t="shared" ca="1" si="15"/>
        <v>0.12999999999999998</v>
      </c>
      <c r="H75" s="23">
        <f t="shared" si="16"/>
        <v>48</v>
      </c>
      <c r="I75" s="23">
        <f t="shared" si="17"/>
        <v>120</v>
      </c>
    </row>
    <row r="76" spans="1:12">
      <c r="A76">
        <f t="shared" si="18"/>
        <v>69</v>
      </c>
      <c r="B76">
        <v>1</v>
      </c>
      <c r="C76" s="17">
        <v>0</v>
      </c>
      <c r="D76" s="1">
        <f t="shared" si="14"/>
        <v>0</v>
      </c>
      <c r="E76" s="21">
        <f t="shared" ca="1" si="19"/>
        <v>109.13325763308242</v>
      </c>
      <c r="F76" s="1">
        <f ca="1">E75*G75</f>
        <v>5.7032836525467729</v>
      </c>
      <c r="G76" s="6">
        <f t="shared" ca="1" si="15"/>
        <v>0.12999999999999998</v>
      </c>
      <c r="H76" s="23">
        <f t="shared" si="16"/>
        <v>48</v>
      </c>
      <c r="I76" s="23">
        <f t="shared" si="17"/>
        <v>120</v>
      </c>
    </row>
    <row r="77" spans="1:12">
      <c r="A77">
        <f t="shared" si="18"/>
        <v>70</v>
      </c>
      <c r="B77">
        <v>1</v>
      </c>
      <c r="C77" s="17">
        <v>0</v>
      </c>
      <c r="D77" s="1">
        <f t="shared" si="14"/>
        <v>0</v>
      </c>
      <c r="E77" s="21">
        <f t="shared" ca="1" si="19"/>
        <v>103.42997398053565</v>
      </c>
      <c r="F77" s="1">
        <f ca="1">E76*G76</f>
        <v>14.187323492300713</v>
      </c>
      <c r="G77" s="6">
        <f ca="1">+$G$3-0.04+RANDBETWEEN(0,8)/100</f>
        <v>0.12999999999999998</v>
      </c>
      <c r="H77" s="23">
        <f t="shared" si="16"/>
        <v>48</v>
      </c>
      <c r="I77" s="23">
        <f t="shared" si="17"/>
        <v>120</v>
      </c>
    </row>
    <row r="78" spans="1:12">
      <c r="A78">
        <f t="shared" si="18"/>
        <v>71</v>
      </c>
      <c r="B78">
        <v>1</v>
      </c>
      <c r="C78" s="17">
        <v>0</v>
      </c>
      <c r="D78" s="1">
        <f t="shared" si="14"/>
        <v>0</v>
      </c>
      <c r="E78" s="21">
        <f t="shared" ca="1" si="19"/>
        <v>89.242650488234943</v>
      </c>
      <c r="F78" s="1">
        <f ca="1">E77*G77</f>
        <v>13.445896617469632</v>
      </c>
      <c r="G78" s="6">
        <f ca="1">G77</f>
        <v>0.12999999999999998</v>
      </c>
      <c r="H78" s="23">
        <f t="shared" si="16"/>
        <v>48</v>
      </c>
      <c r="I78" s="23">
        <f t="shared" si="17"/>
        <v>120</v>
      </c>
    </row>
    <row r="79" spans="1:12">
      <c r="A79" s="7">
        <f t="shared" si="18"/>
        <v>72</v>
      </c>
      <c r="B79" s="7">
        <v>1</v>
      </c>
      <c r="C79" s="17">
        <v>0</v>
      </c>
      <c r="D79" s="1">
        <f t="shared" si="14"/>
        <v>0</v>
      </c>
      <c r="E79" s="21">
        <f t="shared" ca="1" si="19"/>
        <v>75.796753870765315</v>
      </c>
      <c r="F79" s="8">
        <f ca="1">E78*G78</f>
        <v>11.60154456347054</v>
      </c>
      <c r="G79" s="6">
        <f t="shared" ref="G79:G83" ca="1" si="20">G78</f>
        <v>0.12999999999999998</v>
      </c>
      <c r="H79" s="23">
        <f t="shared" si="16"/>
        <v>48</v>
      </c>
      <c r="I79" s="23">
        <f t="shared" si="17"/>
        <v>120</v>
      </c>
    </row>
    <row r="80" spans="1:12">
      <c r="A80">
        <f t="shared" si="18"/>
        <v>73</v>
      </c>
      <c r="B80">
        <v>1</v>
      </c>
      <c r="C80" s="17">
        <v>0</v>
      </c>
      <c r="D80" s="1">
        <f t="shared" si="14"/>
        <v>0</v>
      </c>
      <c r="E80" s="21">
        <f t="shared" ca="1" si="19"/>
        <v>64.195209307294775</v>
      </c>
      <c r="F80" s="1">
        <f ca="1">E79*G79</f>
        <v>9.8535780031994893</v>
      </c>
      <c r="G80" s="6">
        <f t="shared" ca="1" si="20"/>
        <v>0.12999999999999998</v>
      </c>
      <c r="H80" s="23">
        <f t="shared" si="16"/>
        <v>48</v>
      </c>
      <c r="I80" s="23">
        <f t="shared" si="17"/>
        <v>120</v>
      </c>
      <c r="L80" t="s">
        <v>13</v>
      </c>
    </row>
    <row r="81" spans="1:9">
      <c r="A81">
        <f t="shared" si="18"/>
        <v>74</v>
      </c>
      <c r="B81">
        <v>1</v>
      </c>
      <c r="C81" s="17">
        <v>0</v>
      </c>
      <c r="D81" s="1">
        <f t="shared" si="14"/>
        <v>0</v>
      </c>
      <c r="E81" s="21">
        <f t="shared" ca="1" si="19"/>
        <v>54.341631304095287</v>
      </c>
      <c r="F81" s="1">
        <f ca="1">E80*G80</f>
        <v>8.3453772099483192</v>
      </c>
      <c r="G81" s="6">
        <f t="shared" ca="1" si="20"/>
        <v>0.12999999999999998</v>
      </c>
      <c r="H81" s="23">
        <f t="shared" si="16"/>
        <v>48</v>
      </c>
      <c r="I81" s="23">
        <f t="shared" si="17"/>
        <v>120</v>
      </c>
    </row>
    <row r="82" spans="1:9">
      <c r="A82">
        <f t="shared" si="18"/>
        <v>75</v>
      </c>
      <c r="B82">
        <v>1</v>
      </c>
      <c r="C82" s="17">
        <v>0</v>
      </c>
      <c r="D82" s="1">
        <f t="shared" si="14"/>
        <v>0</v>
      </c>
      <c r="E82" s="21">
        <f t="shared" ca="1" si="19"/>
        <v>45.99625409414697</v>
      </c>
      <c r="F82" s="1">
        <f ca="1">E81*G81</f>
        <v>7.064412069532386</v>
      </c>
      <c r="G82" s="6">
        <f t="shared" ca="1" si="20"/>
        <v>0.12999999999999998</v>
      </c>
      <c r="H82" s="23">
        <f t="shared" si="16"/>
        <v>48</v>
      </c>
      <c r="I82" s="23">
        <f t="shared" si="17"/>
        <v>120</v>
      </c>
    </row>
    <row r="83" spans="1:9">
      <c r="A83">
        <f t="shared" si="18"/>
        <v>76</v>
      </c>
      <c r="B83">
        <v>1</v>
      </c>
      <c r="C83" s="17">
        <v>0</v>
      </c>
      <c r="D83" s="1">
        <f t="shared" si="14"/>
        <v>0</v>
      </c>
      <c r="E83" s="21">
        <f t="shared" ca="1" si="19"/>
        <v>38.931842024614582</v>
      </c>
      <c r="F83" s="1">
        <f ca="1">E82*G82</f>
        <v>5.9795130322391046</v>
      </c>
      <c r="G83" s="6">
        <f t="shared" ca="1" si="20"/>
        <v>0.12999999999999998</v>
      </c>
      <c r="H83" s="23">
        <f t="shared" si="16"/>
        <v>48</v>
      </c>
      <c r="I83" s="23">
        <f t="shared" si="17"/>
        <v>120</v>
      </c>
    </row>
    <row r="84" spans="1:9">
      <c r="A84">
        <f t="shared" si="18"/>
        <v>77</v>
      </c>
      <c r="B84">
        <v>1</v>
      </c>
      <c r="C84" s="17">
        <v>0</v>
      </c>
      <c r="D84" s="1">
        <f t="shared" si="14"/>
        <v>0</v>
      </c>
      <c r="E84" s="21">
        <f t="shared" ca="1" si="19"/>
        <v>32.952328992375477</v>
      </c>
      <c r="F84" s="1">
        <f ca="1">E83*G83</f>
        <v>5.0611394631998952</v>
      </c>
      <c r="G84" s="6">
        <f ca="1">+$G$3-0.04+RANDBETWEEN(0,8)/100</f>
        <v>0.18</v>
      </c>
      <c r="H84" s="23">
        <f t="shared" si="16"/>
        <v>48</v>
      </c>
      <c r="I84" s="23">
        <f t="shared" si="17"/>
        <v>120</v>
      </c>
    </row>
    <row r="85" spans="1:9">
      <c r="A85">
        <f t="shared" si="18"/>
        <v>78</v>
      </c>
      <c r="B85">
        <v>1</v>
      </c>
      <c r="C85" s="17">
        <v>1</v>
      </c>
      <c r="D85" s="1">
        <f t="shared" si="14"/>
        <v>432</v>
      </c>
      <c r="E85" s="21">
        <f t="shared" ca="1" si="19"/>
        <v>27.891189529175584</v>
      </c>
      <c r="F85" s="1">
        <f ca="1">E84*G84</f>
        <v>5.9314192186275854</v>
      </c>
      <c r="G85" s="6">
        <f ca="1">G84</f>
        <v>0.18</v>
      </c>
      <c r="H85" s="23">
        <f t="shared" si="16"/>
        <v>48</v>
      </c>
      <c r="I85" s="23">
        <f t="shared" si="17"/>
        <v>120</v>
      </c>
    </row>
    <row r="86" spans="1:9">
      <c r="A86">
        <f t="shared" si="18"/>
        <v>79</v>
      </c>
      <c r="B86">
        <v>1</v>
      </c>
      <c r="C86" s="17">
        <v>0</v>
      </c>
      <c r="D86" s="1">
        <f t="shared" si="14"/>
        <v>0</v>
      </c>
      <c r="E86" s="21">
        <f t="shared" ca="1" si="19"/>
        <v>93.959770310548009</v>
      </c>
      <c r="F86" s="1">
        <f ca="1">E85*G85</f>
        <v>5.0204141152516053</v>
      </c>
      <c r="G86" s="6">
        <f t="shared" ref="G86:G90" ca="1" si="21">G85</f>
        <v>0.18</v>
      </c>
      <c r="H86" s="23">
        <f t="shared" si="16"/>
        <v>48</v>
      </c>
      <c r="I86" s="23">
        <f t="shared" si="17"/>
        <v>120</v>
      </c>
    </row>
    <row r="87" spans="1:9">
      <c r="A87">
        <f t="shared" si="18"/>
        <v>80</v>
      </c>
      <c r="B87">
        <v>1</v>
      </c>
      <c r="C87" s="17">
        <v>0</v>
      </c>
      <c r="D87" s="1">
        <f t="shared" si="14"/>
        <v>0</v>
      </c>
      <c r="E87" s="21">
        <f t="shared" ca="1" si="19"/>
        <v>88.939356195296398</v>
      </c>
      <c r="F87" s="1">
        <f ca="1">E86*G86</f>
        <v>16.912758655898642</v>
      </c>
      <c r="G87" s="6">
        <f t="shared" ca="1" si="21"/>
        <v>0.18</v>
      </c>
      <c r="H87" s="23">
        <f t="shared" si="16"/>
        <v>48</v>
      </c>
      <c r="I87" s="23">
        <f t="shared" si="17"/>
        <v>120</v>
      </c>
    </row>
    <row r="88" spans="1:9">
      <c r="A88">
        <f t="shared" si="18"/>
        <v>81</v>
      </c>
      <c r="B88">
        <v>1</v>
      </c>
      <c r="C88" s="17">
        <v>0</v>
      </c>
      <c r="D88" s="1">
        <f t="shared" si="14"/>
        <v>0</v>
      </c>
      <c r="E88" s="21">
        <f t="shared" ca="1" si="19"/>
        <v>72.026597539397756</v>
      </c>
      <c r="F88" s="1">
        <f ca="1">E87*G87</f>
        <v>16.00908411515335</v>
      </c>
      <c r="G88" s="6">
        <f t="shared" ca="1" si="21"/>
        <v>0.18</v>
      </c>
      <c r="H88" s="23">
        <f t="shared" si="16"/>
        <v>48</v>
      </c>
      <c r="I88" s="23">
        <f t="shared" si="17"/>
        <v>120</v>
      </c>
    </row>
    <row r="89" spans="1:9">
      <c r="A89">
        <f t="shared" si="18"/>
        <v>82</v>
      </c>
      <c r="B89">
        <v>1</v>
      </c>
      <c r="C89" s="17">
        <v>0</v>
      </c>
      <c r="D89" s="1">
        <f t="shared" si="14"/>
        <v>0</v>
      </c>
      <c r="E89" s="21">
        <f t="shared" ca="1" si="19"/>
        <v>56.017513424244406</v>
      </c>
      <c r="F89" s="1">
        <f ca="1">E88*G88</f>
        <v>12.964787557091595</v>
      </c>
      <c r="G89" s="6">
        <f t="shared" ca="1" si="21"/>
        <v>0.18</v>
      </c>
      <c r="H89" s="23">
        <f t="shared" si="16"/>
        <v>48</v>
      </c>
      <c r="I89" s="23">
        <f t="shared" si="17"/>
        <v>120</v>
      </c>
    </row>
    <row r="90" spans="1:9">
      <c r="A90">
        <f t="shared" si="18"/>
        <v>83</v>
      </c>
      <c r="B90">
        <v>1</v>
      </c>
      <c r="C90" s="17">
        <v>0</v>
      </c>
      <c r="D90" s="1">
        <f t="shared" si="14"/>
        <v>0</v>
      </c>
      <c r="E90" s="21">
        <f t="shared" ca="1" si="19"/>
        <v>43.052725867152809</v>
      </c>
      <c r="F90" s="1">
        <f ca="1">E89*G89</f>
        <v>10.083152416363992</v>
      </c>
      <c r="G90" s="6">
        <f t="shared" ca="1" si="21"/>
        <v>0.18</v>
      </c>
      <c r="H90" s="23">
        <f t="shared" si="16"/>
        <v>48</v>
      </c>
      <c r="I90" s="23">
        <f t="shared" si="17"/>
        <v>120</v>
      </c>
    </row>
    <row r="91" spans="1:9">
      <c r="A91">
        <f t="shared" si="18"/>
        <v>84</v>
      </c>
      <c r="B91">
        <v>1</v>
      </c>
      <c r="C91" s="17">
        <v>0</v>
      </c>
      <c r="D91" s="1">
        <f t="shared" si="14"/>
        <v>0</v>
      </c>
      <c r="E91" s="21">
        <f t="shared" ca="1" si="19"/>
        <v>32.969573450788815</v>
      </c>
      <c r="F91" s="1">
        <f ca="1">E90*G90</f>
        <v>7.749490656087505</v>
      </c>
      <c r="G91" s="6">
        <f ca="1">+$G$3-0.04+RANDBETWEEN(0,8)/100</f>
        <v>0.15</v>
      </c>
      <c r="H91" s="23">
        <f t="shared" si="16"/>
        <v>48</v>
      </c>
      <c r="I91" s="23">
        <f t="shared" si="17"/>
        <v>120</v>
      </c>
    </row>
    <row r="92" spans="1:9">
      <c r="A92">
        <f t="shared" si="18"/>
        <v>85</v>
      </c>
      <c r="B92">
        <v>1</v>
      </c>
      <c r="C92" s="17">
        <v>1</v>
      </c>
      <c r="D92" s="1">
        <f t="shared" si="14"/>
        <v>432</v>
      </c>
      <c r="E92" s="21">
        <f t="shared" ca="1" si="19"/>
        <v>25.220082794701309</v>
      </c>
      <c r="F92" s="1">
        <f ca="1">E91*G91</f>
        <v>4.9454360176183219</v>
      </c>
      <c r="G92" s="6">
        <f ca="1">G91</f>
        <v>0.15</v>
      </c>
      <c r="H92" s="23">
        <f t="shared" si="16"/>
        <v>48</v>
      </c>
      <c r="I92" s="23">
        <f t="shared" si="17"/>
        <v>120</v>
      </c>
    </row>
    <row r="93" spans="1:9">
      <c r="A93">
        <f t="shared" si="18"/>
        <v>86</v>
      </c>
      <c r="B93">
        <v>1</v>
      </c>
      <c r="C93" s="17">
        <v>0</v>
      </c>
      <c r="D93" s="1">
        <f t="shared" si="14"/>
        <v>0</v>
      </c>
      <c r="E93" s="21">
        <f t="shared" ca="1" si="19"/>
        <v>92.274646777082992</v>
      </c>
      <c r="F93" s="1">
        <f ca="1">E92*G92</f>
        <v>3.7830124192051962</v>
      </c>
      <c r="G93" s="6">
        <f t="shared" ref="G93:G97" ca="1" si="22">G92</f>
        <v>0.15</v>
      </c>
      <c r="H93" s="23">
        <f t="shared" si="16"/>
        <v>48</v>
      </c>
      <c r="I93" s="23">
        <f t="shared" si="17"/>
        <v>120</v>
      </c>
    </row>
    <row r="94" spans="1:9">
      <c r="A94">
        <f t="shared" si="18"/>
        <v>87</v>
      </c>
      <c r="B94">
        <v>1</v>
      </c>
      <c r="C94" s="17">
        <v>0</v>
      </c>
      <c r="D94" s="1">
        <f t="shared" si="14"/>
        <v>0</v>
      </c>
      <c r="E94" s="21">
        <f t="shared" ca="1" si="19"/>
        <v>88.4916343578778</v>
      </c>
      <c r="F94" s="1">
        <f ca="1">E93*G93</f>
        <v>13.841197016562448</v>
      </c>
      <c r="G94" s="6">
        <f t="shared" ca="1" si="22"/>
        <v>0.15</v>
      </c>
      <c r="H94" s="23">
        <f t="shared" si="16"/>
        <v>48</v>
      </c>
      <c r="I94" s="23">
        <f t="shared" si="17"/>
        <v>120</v>
      </c>
    </row>
    <row r="95" spans="1:9">
      <c r="A95">
        <f t="shared" si="18"/>
        <v>88</v>
      </c>
      <c r="B95">
        <v>1</v>
      </c>
      <c r="C95" s="17">
        <v>0</v>
      </c>
      <c r="D95" s="1">
        <f t="shared" si="14"/>
        <v>0</v>
      </c>
      <c r="E95" s="21">
        <f t="shared" ca="1" si="19"/>
        <v>74.650437341315353</v>
      </c>
      <c r="F95" s="1">
        <f ca="1">E94*G94</f>
        <v>13.27374515368167</v>
      </c>
      <c r="G95" s="6">
        <f t="shared" ca="1" si="22"/>
        <v>0.15</v>
      </c>
      <c r="H95" s="23">
        <f t="shared" si="16"/>
        <v>48</v>
      </c>
      <c r="I95" s="23">
        <f t="shared" si="17"/>
        <v>120</v>
      </c>
    </row>
    <row r="96" spans="1:9">
      <c r="A96">
        <f t="shared" si="18"/>
        <v>89</v>
      </c>
      <c r="B96">
        <v>1</v>
      </c>
      <c r="C96" s="17">
        <v>0</v>
      </c>
      <c r="D96" s="1">
        <f t="shared" si="14"/>
        <v>0</v>
      </c>
      <c r="E96" s="21">
        <f t="shared" ca="1" si="19"/>
        <v>61.37669218763368</v>
      </c>
      <c r="F96" s="1">
        <f ca="1">E95*G95</f>
        <v>11.197565601197303</v>
      </c>
      <c r="G96" s="6">
        <f t="shared" ca="1" si="22"/>
        <v>0.15</v>
      </c>
      <c r="H96" s="23">
        <f t="shared" si="16"/>
        <v>48</v>
      </c>
      <c r="I96" s="23">
        <f t="shared" si="17"/>
        <v>120</v>
      </c>
    </row>
    <row r="97" spans="1:9">
      <c r="A97">
        <f t="shared" si="18"/>
        <v>90</v>
      </c>
      <c r="B97">
        <v>1</v>
      </c>
      <c r="C97" s="17">
        <v>0</v>
      </c>
      <c r="D97" s="1">
        <f t="shared" si="14"/>
        <v>0</v>
      </c>
      <c r="E97" s="21">
        <f t="shared" ca="1" si="19"/>
        <v>50.179126586436375</v>
      </c>
      <c r="F97" s="1">
        <f ca="1">E96*G96</f>
        <v>9.2065038281450509</v>
      </c>
      <c r="G97" s="6">
        <f t="shared" ca="1" si="22"/>
        <v>0.15</v>
      </c>
      <c r="H97" s="23">
        <f t="shared" si="16"/>
        <v>48</v>
      </c>
      <c r="I97" s="23">
        <f t="shared" si="17"/>
        <v>120</v>
      </c>
    </row>
    <row r="98" spans="1:9">
      <c r="A98">
        <f t="shared" si="18"/>
        <v>91</v>
      </c>
      <c r="B98">
        <v>1</v>
      </c>
      <c r="C98" s="17">
        <v>0</v>
      </c>
      <c r="D98" s="1">
        <f t="shared" si="14"/>
        <v>0</v>
      </c>
      <c r="E98" s="21">
        <f t="shared" ca="1" si="19"/>
        <v>40.972622758291322</v>
      </c>
      <c r="F98" s="1">
        <f ca="1">E97*G97</f>
        <v>7.5268689879654556</v>
      </c>
      <c r="G98" s="6">
        <f ca="1">+$G$3-0.04+RANDBETWEEN(0,8)/100</f>
        <v>0.16999999999999998</v>
      </c>
      <c r="H98" s="23">
        <f t="shared" si="16"/>
        <v>48</v>
      </c>
      <c r="I98" s="23">
        <f t="shared" si="17"/>
        <v>120</v>
      </c>
    </row>
    <row r="99" spans="1:9">
      <c r="A99">
        <f t="shared" si="18"/>
        <v>92</v>
      </c>
      <c r="B99">
        <v>1</v>
      </c>
      <c r="C99" s="17">
        <v>1</v>
      </c>
      <c r="D99" s="1">
        <f t="shared" si="14"/>
        <v>432</v>
      </c>
      <c r="E99" s="21">
        <f t="shared" ca="1" si="19"/>
        <v>33.445753770325865</v>
      </c>
      <c r="F99" s="1">
        <f ca="1">E98*G98</f>
        <v>6.965345868909524</v>
      </c>
      <c r="G99" s="6">
        <f ca="1">G98</f>
        <v>0.16999999999999998</v>
      </c>
      <c r="H99" s="23">
        <f t="shared" si="16"/>
        <v>48</v>
      </c>
      <c r="I99" s="23">
        <f t="shared" si="17"/>
        <v>120</v>
      </c>
    </row>
    <row r="100" spans="1:9">
      <c r="A100">
        <f t="shared" si="18"/>
        <v>93</v>
      </c>
      <c r="B100">
        <v>1</v>
      </c>
      <c r="C100" s="17">
        <v>0</v>
      </c>
      <c r="D100" s="1">
        <f t="shared" si="14"/>
        <v>0</v>
      </c>
      <c r="E100" s="21">
        <f t="shared" ca="1" si="19"/>
        <v>98.480407901416342</v>
      </c>
      <c r="F100" s="1">
        <f ca="1">E99*G99</f>
        <v>5.6857781409553967</v>
      </c>
      <c r="G100" s="6">
        <f t="shared" ref="G100:G104" ca="1" si="23">G99</f>
        <v>0.16999999999999998</v>
      </c>
      <c r="H100" s="23">
        <f t="shared" si="16"/>
        <v>48</v>
      </c>
      <c r="I100" s="23">
        <f t="shared" si="17"/>
        <v>120</v>
      </c>
    </row>
    <row r="101" spans="1:9">
      <c r="A101">
        <f t="shared" si="18"/>
        <v>94</v>
      </c>
      <c r="B101">
        <v>1</v>
      </c>
      <c r="C101" s="17">
        <v>0</v>
      </c>
      <c r="D101" s="1">
        <f t="shared" si="14"/>
        <v>0</v>
      </c>
      <c r="E101" s="21">
        <f t="shared" ca="1" si="19"/>
        <v>92.79462976046095</v>
      </c>
      <c r="F101" s="1">
        <f ca="1">E100*G100</f>
        <v>16.741669343240776</v>
      </c>
      <c r="G101" s="6">
        <f t="shared" ca="1" si="23"/>
        <v>0.16999999999999998</v>
      </c>
      <c r="H101" s="23">
        <f t="shared" si="16"/>
        <v>48</v>
      </c>
      <c r="I101" s="23">
        <f t="shared" si="17"/>
        <v>120</v>
      </c>
    </row>
    <row r="102" spans="1:9">
      <c r="A102">
        <f t="shared" si="18"/>
        <v>95</v>
      </c>
      <c r="B102">
        <v>1</v>
      </c>
      <c r="C102" s="17">
        <v>0</v>
      </c>
      <c r="D102" s="1">
        <f t="shared" si="14"/>
        <v>0</v>
      </c>
      <c r="E102" s="21">
        <f t="shared" ca="1" si="19"/>
        <v>76.052960417220177</v>
      </c>
      <c r="F102" s="1">
        <f ca="1">E101*G101</f>
        <v>15.775087059278359</v>
      </c>
      <c r="G102" s="6">
        <f t="shared" ca="1" si="23"/>
        <v>0.16999999999999998</v>
      </c>
      <c r="H102" s="23">
        <f t="shared" si="16"/>
        <v>48</v>
      </c>
      <c r="I102" s="23">
        <f t="shared" si="17"/>
        <v>120</v>
      </c>
    </row>
    <row r="103" spans="1:9">
      <c r="A103" s="7">
        <f t="shared" si="18"/>
        <v>96</v>
      </c>
      <c r="B103" s="7">
        <v>1</v>
      </c>
      <c r="C103" s="17">
        <v>0</v>
      </c>
      <c r="D103" s="1">
        <f t="shared" si="14"/>
        <v>0</v>
      </c>
      <c r="E103" s="21">
        <f t="shared" ca="1" si="19"/>
        <v>60.277873357941814</v>
      </c>
      <c r="F103" s="8">
        <f ca="1">E102*G102</f>
        <v>12.92900327092743</v>
      </c>
      <c r="G103" s="6">
        <f t="shared" ca="1" si="23"/>
        <v>0.16999999999999998</v>
      </c>
      <c r="H103" s="23">
        <f t="shared" si="16"/>
        <v>48</v>
      </c>
      <c r="I103" s="23">
        <f t="shared" si="17"/>
        <v>120</v>
      </c>
    </row>
    <row r="104" spans="1:9">
      <c r="A104">
        <f t="shared" si="18"/>
        <v>97</v>
      </c>
      <c r="B104">
        <v>1</v>
      </c>
      <c r="C104" s="17">
        <v>0</v>
      </c>
      <c r="D104" s="1">
        <f t="shared" si="14"/>
        <v>0</v>
      </c>
      <c r="E104" s="21">
        <f t="shared" ca="1" si="19"/>
        <v>47.348870087014383</v>
      </c>
      <c r="F104" s="1">
        <f ca="1">E103*G103</f>
        <v>10.247238470850107</v>
      </c>
      <c r="G104" s="6">
        <f t="shared" ca="1" si="23"/>
        <v>0.16999999999999998</v>
      </c>
      <c r="H104" s="23">
        <f t="shared" si="16"/>
        <v>48</v>
      </c>
      <c r="I104" s="23">
        <f t="shared" si="17"/>
        <v>120</v>
      </c>
    </row>
    <row r="105" spans="1:9">
      <c r="A105">
        <f t="shared" si="18"/>
        <v>98</v>
      </c>
      <c r="B105">
        <v>1</v>
      </c>
      <c r="C105" s="17">
        <v>0</v>
      </c>
      <c r="D105" s="1">
        <f t="shared" si="14"/>
        <v>0</v>
      </c>
      <c r="E105" s="21">
        <f t="shared" ca="1" si="19"/>
        <v>37.101631616164276</v>
      </c>
      <c r="F105" s="1">
        <f ca="1">E104*G104</f>
        <v>8.0493079147924451</v>
      </c>
      <c r="G105" s="6">
        <f ca="1">+$G$3-0.04+RANDBETWEEN(0,8)/100</f>
        <v>0.19</v>
      </c>
      <c r="H105" s="23">
        <f t="shared" si="16"/>
        <v>48</v>
      </c>
      <c r="I105" s="23">
        <f t="shared" si="17"/>
        <v>120</v>
      </c>
    </row>
    <row r="106" spans="1:9">
      <c r="A106">
        <f t="shared" si="18"/>
        <v>99</v>
      </c>
      <c r="B106">
        <v>1</v>
      </c>
      <c r="C106" s="17">
        <v>0</v>
      </c>
      <c r="D106" s="1">
        <f t="shared" si="14"/>
        <v>0</v>
      </c>
      <c r="E106" s="21">
        <f t="shared" ca="1" si="19"/>
        <v>29.052323701371833</v>
      </c>
      <c r="F106" s="1">
        <f ca="1">E105*G105</f>
        <v>7.0493100070712122</v>
      </c>
      <c r="G106" s="6">
        <f ca="1">G105</f>
        <v>0.19</v>
      </c>
      <c r="H106" s="23">
        <f t="shared" si="16"/>
        <v>48</v>
      </c>
      <c r="I106" s="23">
        <f t="shared" si="17"/>
        <v>120</v>
      </c>
    </row>
    <row r="107" spans="1:9">
      <c r="A107">
        <f t="shared" si="18"/>
        <v>100</v>
      </c>
      <c r="B107">
        <v>1</v>
      </c>
      <c r="C107" s="17">
        <v>0</v>
      </c>
      <c r="D107" s="1">
        <f t="shared" si="14"/>
        <v>0</v>
      </c>
      <c r="E107" s="21">
        <f t="shared" ca="1" si="19"/>
        <v>22.00301369430062</v>
      </c>
      <c r="F107" s="1">
        <f ca="1">E106*G106</f>
        <v>5.5199415032606485</v>
      </c>
      <c r="G107" s="6">
        <f t="shared" ref="G107:G111" ca="1" si="24">G106</f>
        <v>0.19</v>
      </c>
      <c r="H107" s="23">
        <f t="shared" si="16"/>
        <v>48</v>
      </c>
      <c r="I107" s="23">
        <f t="shared" si="17"/>
        <v>120</v>
      </c>
    </row>
    <row r="108" spans="1:9">
      <c r="A108">
        <f t="shared" si="18"/>
        <v>101</v>
      </c>
      <c r="B108">
        <v>1</v>
      </c>
      <c r="C108" s="17">
        <v>0</v>
      </c>
      <c r="D108" s="1">
        <f t="shared" si="14"/>
        <v>0</v>
      </c>
      <c r="E108" s="21">
        <f t="shared" ca="1" si="19"/>
        <v>16.483072191039973</v>
      </c>
      <c r="F108" s="1">
        <f ca="1">E107*G107</f>
        <v>4.1805726019171177</v>
      </c>
      <c r="G108" s="6">
        <f t="shared" ca="1" si="24"/>
        <v>0.19</v>
      </c>
      <c r="H108" s="23">
        <f t="shared" si="16"/>
        <v>48</v>
      </c>
      <c r="I108" s="23">
        <f t="shared" si="17"/>
        <v>120</v>
      </c>
    </row>
    <row r="109" spans="1:9">
      <c r="A109">
        <f t="shared" si="18"/>
        <v>102</v>
      </c>
      <c r="B109">
        <v>1</v>
      </c>
      <c r="C109" s="17">
        <v>1</v>
      </c>
      <c r="D109" s="1">
        <f t="shared" si="14"/>
        <v>432</v>
      </c>
      <c r="E109" s="21">
        <f t="shared" ca="1" si="19"/>
        <v>12.302499589122856</v>
      </c>
      <c r="F109" s="1">
        <f ca="1">E108*G108</f>
        <v>3.131783716297595</v>
      </c>
      <c r="G109" s="6">
        <f t="shared" ca="1" si="24"/>
        <v>0.19</v>
      </c>
      <c r="H109" s="23">
        <f t="shared" si="16"/>
        <v>48</v>
      </c>
      <c r="I109" s="23">
        <f t="shared" si="17"/>
        <v>120</v>
      </c>
    </row>
    <row r="110" spans="1:9">
      <c r="A110">
        <f t="shared" si="18"/>
        <v>103</v>
      </c>
      <c r="B110">
        <v>1</v>
      </c>
      <c r="C110" s="17">
        <v>0</v>
      </c>
      <c r="D110" s="1">
        <f t="shared" si="14"/>
        <v>0</v>
      </c>
      <c r="E110" s="21">
        <f t="shared" ca="1" si="19"/>
        <v>81.170715872825269</v>
      </c>
      <c r="F110" s="1">
        <f ca="1">E109*G109</f>
        <v>2.3374749219333428</v>
      </c>
      <c r="G110" s="6">
        <f t="shared" ca="1" si="24"/>
        <v>0.19</v>
      </c>
      <c r="H110" s="23">
        <f t="shared" si="16"/>
        <v>48</v>
      </c>
      <c r="I110" s="23">
        <f t="shared" si="17"/>
        <v>120</v>
      </c>
    </row>
    <row r="111" spans="1:9">
      <c r="A111">
        <f t="shared" si="18"/>
        <v>104</v>
      </c>
      <c r="B111">
        <v>1</v>
      </c>
      <c r="C111" s="17">
        <v>0</v>
      </c>
      <c r="D111" s="1">
        <f t="shared" si="14"/>
        <v>0</v>
      </c>
      <c r="E111" s="21">
        <f t="shared" ca="1" si="19"/>
        <v>78.83324095089192</v>
      </c>
      <c r="F111" s="1">
        <f ca="1">E110*G110</f>
        <v>15.422436015836801</v>
      </c>
      <c r="G111" s="6">
        <f t="shared" ca="1" si="24"/>
        <v>0.19</v>
      </c>
      <c r="H111" s="23">
        <f t="shared" si="16"/>
        <v>48</v>
      </c>
      <c r="I111" s="23">
        <f t="shared" si="17"/>
        <v>120</v>
      </c>
    </row>
    <row r="112" spans="1:9">
      <c r="A112">
        <f t="shared" si="18"/>
        <v>105</v>
      </c>
      <c r="B112">
        <v>1</v>
      </c>
      <c r="C112" s="17">
        <v>0</v>
      </c>
      <c r="D112" s="1">
        <f t="shared" si="14"/>
        <v>0</v>
      </c>
      <c r="E112" s="21">
        <f t="shared" ca="1" si="19"/>
        <v>63.410804935055118</v>
      </c>
      <c r="F112" s="1">
        <f ca="1">E111*G111</f>
        <v>14.978315780669465</v>
      </c>
      <c r="G112" s="6">
        <f ca="1">+$G$3-0.04+RANDBETWEEN(0,8)/100</f>
        <v>0.15999999999999998</v>
      </c>
      <c r="H112" s="23">
        <f t="shared" si="16"/>
        <v>48</v>
      </c>
      <c r="I112" s="23">
        <f t="shared" si="17"/>
        <v>120</v>
      </c>
    </row>
    <row r="113" spans="1:9">
      <c r="A113">
        <f t="shared" si="18"/>
        <v>106</v>
      </c>
      <c r="B113">
        <v>1</v>
      </c>
      <c r="C113" s="17">
        <v>0</v>
      </c>
      <c r="D113" s="1">
        <f t="shared" si="14"/>
        <v>0</v>
      </c>
      <c r="E113" s="21">
        <f t="shared" ca="1" si="19"/>
        <v>48.432489154385649</v>
      </c>
      <c r="F113" s="1">
        <f ca="1">E112*G112</f>
        <v>10.145728789608818</v>
      </c>
      <c r="G113" s="6">
        <f ca="1">G112</f>
        <v>0.15999999999999998</v>
      </c>
      <c r="H113" s="23">
        <f t="shared" si="16"/>
        <v>48</v>
      </c>
      <c r="I113" s="23">
        <f t="shared" si="17"/>
        <v>120</v>
      </c>
    </row>
    <row r="114" spans="1:9">
      <c r="A114">
        <f t="shared" si="18"/>
        <v>107</v>
      </c>
      <c r="B114">
        <v>1</v>
      </c>
      <c r="C114" s="17">
        <v>0</v>
      </c>
      <c r="D114" s="1">
        <f t="shared" si="14"/>
        <v>0</v>
      </c>
      <c r="E114" s="21">
        <f t="shared" ca="1" si="19"/>
        <v>38.286760364776832</v>
      </c>
      <c r="F114" s="1">
        <f ca="1">E113*G113</f>
        <v>7.749198264701703</v>
      </c>
      <c r="G114" s="6">
        <f t="shared" ref="G114:G118" ca="1" si="25">G113</f>
        <v>0.15999999999999998</v>
      </c>
      <c r="H114" s="23">
        <f t="shared" si="16"/>
        <v>48</v>
      </c>
      <c r="I114" s="23">
        <f t="shared" si="17"/>
        <v>120</v>
      </c>
    </row>
    <row r="115" spans="1:9">
      <c r="A115">
        <f t="shared" si="18"/>
        <v>108</v>
      </c>
      <c r="B115">
        <v>1</v>
      </c>
      <c r="C115" s="17">
        <v>0</v>
      </c>
      <c r="D115" s="1">
        <f t="shared" si="14"/>
        <v>0</v>
      </c>
      <c r="E115" s="21">
        <f t="shared" ca="1" si="19"/>
        <v>30.537562100075128</v>
      </c>
      <c r="F115" s="1">
        <f ca="1">E114*G114</f>
        <v>6.1258816583642925</v>
      </c>
      <c r="G115" s="6">
        <f t="shared" ca="1" si="25"/>
        <v>0.15999999999999998</v>
      </c>
      <c r="H115" s="23">
        <f t="shared" si="16"/>
        <v>48</v>
      </c>
      <c r="I115" s="23">
        <f t="shared" si="17"/>
        <v>120</v>
      </c>
    </row>
    <row r="116" spans="1:9">
      <c r="A116">
        <f t="shared" si="18"/>
        <v>109</v>
      </c>
      <c r="B116">
        <v>1</v>
      </c>
      <c r="C116" s="17">
        <v>1</v>
      </c>
      <c r="D116" s="1">
        <f t="shared" si="14"/>
        <v>432</v>
      </c>
      <c r="E116" s="21">
        <f t="shared" ca="1" si="19"/>
        <v>24.411680441710836</v>
      </c>
      <c r="F116" s="1">
        <f ca="1">E115*G115</f>
        <v>4.8860099360120195</v>
      </c>
      <c r="G116" s="6">
        <f t="shared" ca="1" si="25"/>
        <v>0.15999999999999998</v>
      </c>
      <c r="H116" s="23">
        <f t="shared" si="16"/>
        <v>48</v>
      </c>
      <c r="I116" s="23">
        <f t="shared" si="17"/>
        <v>120</v>
      </c>
    </row>
    <row r="117" spans="1:9">
      <c r="A117">
        <f t="shared" si="18"/>
        <v>110</v>
      </c>
      <c r="B117">
        <v>1</v>
      </c>
      <c r="C117" s="17">
        <v>0</v>
      </c>
      <c r="D117" s="1">
        <f t="shared" si="14"/>
        <v>0</v>
      </c>
      <c r="E117" s="21">
        <f t="shared" ca="1" si="19"/>
        <v>91.525670505698827</v>
      </c>
      <c r="F117" s="1">
        <f ca="1">E116*G116</f>
        <v>3.905868870673733</v>
      </c>
      <c r="G117" s="6">
        <f t="shared" ca="1" si="25"/>
        <v>0.15999999999999998</v>
      </c>
      <c r="H117" s="23">
        <f t="shared" si="16"/>
        <v>48</v>
      </c>
      <c r="I117" s="23">
        <f t="shared" si="17"/>
        <v>120</v>
      </c>
    </row>
    <row r="118" spans="1:9">
      <c r="G118" s="6">
        <f t="shared" ca="1" si="25"/>
        <v>0.15999999999999998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 xr3:uid="{842E5F09-E766-5B8D-85AF-A39847EA96FD}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VU Amsterdam WI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J. Treur</dc:creator>
  <cp:keywords/>
  <dc:description/>
  <cp:lastModifiedBy>Roos Bakker</cp:lastModifiedBy>
  <cp:revision/>
  <dcterms:created xsi:type="dcterms:W3CDTF">2007-07-27T05:30:46Z</dcterms:created>
  <dcterms:modified xsi:type="dcterms:W3CDTF">2017-02-14T09:27:05Z</dcterms:modified>
  <cp:category/>
  <cp:contentStatus/>
</cp:coreProperties>
</file>