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l Klein\Desktop\"/>
    </mc:Choice>
  </mc:AlternateContent>
  <bookViews>
    <workbookView xWindow="0" yWindow="0" windowWidth="21780" windowHeight="7785"/>
  </bookViews>
  <sheets>
    <sheet name="exercise a-b" sheetId="9" r:id="rId1"/>
    <sheet name="exercise c" sheetId="8" r:id="rId2"/>
  </sheets>
  <definedNames>
    <definedName name="_xlnm.Print_Area" localSheetId="0">'exercise a-b'!$A$1:$I$85</definedName>
    <definedName name="_xlnm.Print_Area" localSheetId="1">'exercise c'!$A$1:$I$85</definedName>
  </definedNames>
  <calcPr calcId="162913"/>
</workbook>
</file>

<file path=xl/calcChain.xml><?xml version="1.0" encoding="utf-8"?>
<calcChain xmlns="http://schemas.openxmlformats.org/spreadsheetml/2006/main">
  <c r="O5" i="9" l="1"/>
  <c r="N6" i="9" s="1"/>
  <c r="A6" i="9"/>
  <c r="A7" i="9" s="1"/>
  <c r="A8" i="9" s="1"/>
  <c r="A9" i="9" s="1"/>
  <c r="E6" i="9"/>
  <c r="L9" i="9"/>
  <c r="F6" i="9"/>
  <c r="H7" i="9" s="1"/>
  <c r="J8" i="9" s="1"/>
  <c r="G6" i="9"/>
  <c r="I7" i="9" s="1"/>
  <c r="K8" i="9" s="1"/>
  <c r="H6" i="9"/>
  <c r="J7" i="9" s="1"/>
  <c r="L8" i="9" s="1"/>
  <c r="I6" i="9"/>
  <c r="K7" i="9" s="1"/>
  <c r="J6" i="9"/>
  <c r="K6" i="9"/>
  <c r="L6" i="9"/>
  <c r="P6" i="9"/>
  <c r="E7" i="9"/>
  <c r="F7" i="9"/>
  <c r="H8" i="9" s="1"/>
  <c r="J9" i="9" s="1"/>
  <c r="L10" i="9" s="1"/>
  <c r="G7" i="9"/>
  <c r="I8" i="9" s="1"/>
  <c r="K9" i="9" s="1"/>
  <c r="L7" i="9"/>
  <c r="E8" i="9"/>
  <c r="G9" i="9" s="1"/>
  <c r="I10" i="9" s="1"/>
  <c r="K11" i="9" s="1"/>
  <c r="H9" i="9"/>
  <c r="J10" i="9" s="1"/>
  <c r="L11" i="9" s="1"/>
  <c r="F8" i="9"/>
  <c r="G8" i="9"/>
  <c r="I9" i="9" s="1"/>
  <c r="K10" i="9" s="1"/>
  <c r="E9" i="9"/>
  <c r="H10" i="9"/>
  <c r="J11" i="9"/>
  <c r="L12" i="9" s="1"/>
  <c r="F9" i="9"/>
  <c r="A10" i="9"/>
  <c r="A11" i="9" s="1"/>
  <c r="E10" i="9"/>
  <c r="G11" i="9" s="1"/>
  <c r="I12" i="9" s="1"/>
  <c r="K13" i="9" s="1"/>
  <c r="F10" i="9"/>
  <c r="G10" i="9"/>
  <c r="I11" i="9" s="1"/>
  <c r="K12" i="9"/>
  <c r="E11" i="9"/>
  <c r="G12" i="9" s="1"/>
  <c r="F11" i="9"/>
  <c r="H12" i="9" s="1"/>
  <c r="J13" i="9" s="1"/>
  <c r="L14" i="9" s="1"/>
  <c r="A12" i="9"/>
  <c r="A13" i="9" s="1"/>
  <c r="E12" i="9"/>
  <c r="F12" i="9"/>
  <c r="H13" i="9" s="1"/>
  <c r="J14" i="9" s="1"/>
  <c r="L15" i="9" s="1"/>
  <c r="I13" i="9"/>
  <c r="K14" i="9" s="1"/>
  <c r="E13" i="9"/>
  <c r="G14" i="9" s="1"/>
  <c r="H14" i="9"/>
  <c r="J15" i="9" s="1"/>
  <c r="L16" i="9" s="1"/>
  <c r="F13" i="9"/>
  <c r="G13" i="9"/>
  <c r="I14" i="9" s="1"/>
  <c r="K15" i="9" s="1"/>
  <c r="A14" i="9"/>
  <c r="A15" i="9" s="1"/>
  <c r="E14" i="9"/>
  <c r="F14" i="9"/>
  <c r="H15" i="9" s="1"/>
  <c r="J16" i="9" s="1"/>
  <c r="L17" i="9" s="1"/>
  <c r="I15" i="9"/>
  <c r="K16" i="9" s="1"/>
  <c r="E15" i="9"/>
  <c r="G16" i="9" s="1"/>
  <c r="H16" i="9"/>
  <c r="J17" i="9" s="1"/>
  <c r="L18" i="9" s="1"/>
  <c r="F15" i="9"/>
  <c r="G15" i="9"/>
  <c r="I16" i="9" s="1"/>
  <c r="K17" i="9" s="1"/>
  <c r="A16" i="9"/>
  <c r="A17" i="9" s="1"/>
  <c r="E16" i="9"/>
  <c r="F16" i="9"/>
  <c r="H17" i="9" s="1"/>
  <c r="J18" i="9" s="1"/>
  <c r="L19" i="9" s="1"/>
  <c r="I17" i="9"/>
  <c r="K18" i="9" s="1"/>
  <c r="E17" i="9"/>
  <c r="G18" i="9" s="1"/>
  <c r="H18" i="9"/>
  <c r="J19" i="9" s="1"/>
  <c r="L20" i="9" s="1"/>
  <c r="F17" i="9"/>
  <c r="G17" i="9"/>
  <c r="I18" i="9" s="1"/>
  <c r="K19" i="9" s="1"/>
  <c r="A18" i="9"/>
  <c r="A19" i="9" s="1"/>
  <c r="E18" i="9"/>
  <c r="F18" i="9"/>
  <c r="H19" i="9" s="1"/>
  <c r="J20" i="9" s="1"/>
  <c r="L21" i="9" s="1"/>
  <c r="I19" i="9"/>
  <c r="K20" i="9" s="1"/>
  <c r="E19" i="9"/>
  <c r="G20" i="9" s="1"/>
  <c r="H20" i="9"/>
  <c r="J21" i="9" s="1"/>
  <c r="L22" i="9" s="1"/>
  <c r="F19" i="9"/>
  <c r="G19" i="9"/>
  <c r="I20" i="9" s="1"/>
  <c r="K21" i="9" s="1"/>
  <c r="A20" i="9"/>
  <c r="A21" i="9" s="1"/>
  <c r="E20" i="9"/>
  <c r="F20" i="9"/>
  <c r="H21" i="9" s="1"/>
  <c r="J22" i="9" s="1"/>
  <c r="L23" i="9" s="1"/>
  <c r="I21" i="9"/>
  <c r="K22" i="9" s="1"/>
  <c r="E21" i="9"/>
  <c r="G22" i="9" s="1"/>
  <c r="H22" i="9"/>
  <c r="J23" i="9" s="1"/>
  <c r="L24" i="9" s="1"/>
  <c r="F21" i="9"/>
  <c r="G21" i="9"/>
  <c r="I22" i="9" s="1"/>
  <c r="K23" i="9" s="1"/>
  <c r="A22" i="9"/>
  <c r="A23" i="9" s="1"/>
  <c r="E22" i="9"/>
  <c r="F22" i="9"/>
  <c r="H23" i="9" s="1"/>
  <c r="J24" i="9" s="1"/>
  <c r="L25" i="9" s="1"/>
  <c r="I23" i="9"/>
  <c r="K24" i="9" s="1"/>
  <c r="E23" i="9"/>
  <c r="G24" i="9" s="1"/>
  <c r="H24" i="9"/>
  <c r="J25" i="9" s="1"/>
  <c r="L26" i="9" s="1"/>
  <c r="F23" i="9"/>
  <c r="G23" i="9"/>
  <c r="I24" i="9" s="1"/>
  <c r="K25" i="9" s="1"/>
  <c r="A24" i="9"/>
  <c r="A25" i="9" s="1"/>
  <c r="E24" i="9"/>
  <c r="F24" i="9"/>
  <c r="H25" i="9" s="1"/>
  <c r="J26" i="9" s="1"/>
  <c r="L27" i="9" s="1"/>
  <c r="I25" i="9"/>
  <c r="K26" i="9" s="1"/>
  <c r="E25" i="9"/>
  <c r="G26" i="9" s="1"/>
  <c r="H26" i="9"/>
  <c r="J27" i="9" s="1"/>
  <c r="L28" i="9" s="1"/>
  <c r="F25" i="9"/>
  <c r="G25" i="9"/>
  <c r="I26" i="9" s="1"/>
  <c r="K27" i="9" s="1"/>
  <c r="A26" i="9"/>
  <c r="A27" i="9" s="1"/>
  <c r="E26" i="9"/>
  <c r="F26" i="9"/>
  <c r="H27" i="9" s="1"/>
  <c r="J28" i="9" s="1"/>
  <c r="L29" i="9" s="1"/>
  <c r="I27" i="9"/>
  <c r="K28" i="9" s="1"/>
  <c r="E27" i="9"/>
  <c r="G28" i="9" s="1"/>
  <c r="H28" i="9"/>
  <c r="J29" i="9" s="1"/>
  <c r="L30" i="9" s="1"/>
  <c r="F27" i="9"/>
  <c r="G27" i="9"/>
  <c r="I28" i="9" s="1"/>
  <c r="K29" i="9" s="1"/>
  <c r="A28" i="9"/>
  <c r="A29" i="9" s="1"/>
  <c r="E28" i="9"/>
  <c r="F28" i="9"/>
  <c r="H29" i="9" s="1"/>
  <c r="J30" i="9" s="1"/>
  <c r="L31" i="9" s="1"/>
  <c r="I29" i="9"/>
  <c r="K30" i="9" s="1"/>
  <c r="E29" i="9"/>
  <c r="G30" i="9" s="1"/>
  <c r="H30" i="9"/>
  <c r="J31" i="9" s="1"/>
  <c r="L32" i="9" s="1"/>
  <c r="F29" i="9"/>
  <c r="G29" i="9"/>
  <c r="I30" i="9" s="1"/>
  <c r="K31" i="9" s="1"/>
  <c r="A30" i="9"/>
  <c r="A31" i="9" s="1"/>
  <c r="A32" i="9" s="1"/>
  <c r="A33" i="9" s="1"/>
  <c r="A34" i="9" s="1"/>
  <c r="A35" i="9" s="1"/>
  <c r="E30" i="9"/>
  <c r="F30" i="9"/>
  <c r="H31" i="9" s="1"/>
  <c r="J32" i="9" s="1"/>
  <c r="L33" i="9" s="1"/>
  <c r="I31" i="9"/>
  <c r="K32" i="9" s="1"/>
  <c r="E31" i="9"/>
  <c r="G32" i="9" s="1"/>
  <c r="H32" i="9"/>
  <c r="J33" i="9" s="1"/>
  <c r="L34" i="9" s="1"/>
  <c r="F31" i="9"/>
  <c r="G31" i="9"/>
  <c r="I32" i="9"/>
  <c r="K33" i="9" s="1"/>
  <c r="E32" i="9"/>
  <c r="G33" i="9" s="1"/>
  <c r="I34" i="9" s="1"/>
  <c r="K35" i="9" s="1"/>
  <c r="F32" i="9"/>
  <c r="I33" i="9"/>
  <c r="K34" i="9"/>
  <c r="E33" i="9"/>
  <c r="G34" i="9" s="1"/>
  <c r="H34" i="9"/>
  <c r="J35" i="9"/>
  <c r="L36" i="9" s="1"/>
  <c r="F33" i="9"/>
  <c r="E34" i="9"/>
  <c r="J36" i="9"/>
  <c r="L37" i="9" s="1"/>
  <c r="F34" i="9"/>
  <c r="H35" i="9" s="1"/>
  <c r="I35" i="9"/>
  <c r="K36" i="9"/>
  <c r="E35" i="9"/>
  <c r="G36" i="9" s="1"/>
  <c r="F35" i="9"/>
  <c r="H36" i="9" s="1"/>
  <c r="J37" i="9" s="1"/>
  <c r="L38" i="9" s="1"/>
  <c r="G35" i="9"/>
  <c r="I36" i="9" s="1"/>
  <c r="K37" i="9" s="1"/>
  <c r="A36" i="9"/>
  <c r="A37" i="9" s="1"/>
  <c r="E36" i="9"/>
  <c r="L39" i="9"/>
  <c r="F36" i="9"/>
  <c r="H37" i="9" s="1"/>
  <c r="J38" i="9" s="1"/>
  <c r="I37" i="9"/>
  <c r="K38" i="9" s="1"/>
  <c r="E37" i="9"/>
  <c r="G38" i="9" s="1"/>
  <c r="F37" i="9"/>
  <c r="G37" i="9"/>
  <c r="I38" i="9" s="1"/>
  <c r="K39" i="9" s="1"/>
  <c r="A38" i="9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E38" i="9"/>
  <c r="F38" i="9"/>
  <c r="I39" i="9"/>
  <c r="K40" i="9" s="1"/>
  <c r="E39" i="9"/>
  <c r="H40" i="9"/>
  <c r="J41" i="9" s="1"/>
  <c r="L42" i="9" s="1"/>
  <c r="F39" i="9"/>
  <c r="G39" i="9"/>
  <c r="I40" i="9" s="1"/>
  <c r="K41" i="9" s="1"/>
  <c r="E40" i="9"/>
  <c r="H41" i="9" s="1"/>
  <c r="J42" i="9" s="1"/>
  <c r="L43" i="9" s="1"/>
  <c r="F40" i="9"/>
  <c r="G40" i="9"/>
  <c r="I41" i="9"/>
  <c r="K42" i="9" s="1"/>
  <c r="E41" i="9"/>
  <c r="J43" i="9"/>
  <c r="L44" i="9" s="1"/>
  <c r="F41" i="9"/>
  <c r="H42" i="9" s="1"/>
  <c r="E42" i="9"/>
  <c r="F42" i="9"/>
  <c r="G42" i="9"/>
  <c r="I43" i="9"/>
  <c r="K44" i="9" s="1"/>
  <c r="E43" i="9"/>
  <c r="G44" i="9" s="1"/>
  <c r="I45" i="9" s="1"/>
  <c r="K46" i="9" s="1"/>
  <c r="F43" i="9"/>
  <c r="H44" i="9" s="1"/>
  <c r="J45" i="9" s="1"/>
  <c r="L46" i="9" s="1"/>
  <c r="E44" i="9"/>
  <c r="F44" i="9"/>
  <c r="E45" i="9"/>
  <c r="G46" i="9" s="1"/>
  <c r="I47" i="9" s="1"/>
  <c r="K48" i="9" s="1"/>
  <c r="F45" i="9"/>
  <c r="E46" i="9"/>
  <c r="F46" i="9"/>
  <c r="E47" i="9"/>
  <c r="H48" i="9"/>
  <c r="J49" i="9"/>
  <c r="F47" i="9"/>
  <c r="E48" i="9"/>
  <c r="F48" i="9"/>
  <c r="G48" i="9"/>
  <c r="I49" i="9" s="1"/>
  <c r="K50" i="9" s="1"/>
  <c r="E49" i="9"/>
  <c r="F49" i="9"/>
  <c r="H50" i="9" s="1"/>
  <c r="J51" i="9" s="1"/>
  <c r="L52" i="9" s="1"/>
  <c r="E50" i="9"/>
  <c r="H51" i="9" s="1"/>
  <c r="J52" i="9" s="1"/>
  <c r="L53" i="9" s="1"/>
  <c r="F50" i="9"/>
  <c r="G50" i="9"/>
  <c r="I51" i="9" s="1"/>
  <c r="K52" i="9" s="1"/>
  <c r="L50" i="9"/>
  <c r="E51" i="9"/>
  <c r="F51" i="9"/>
  <c r="G51" i="9"/>
  <c r="I52" i="9" s="1"/>
  <c r="K53" i="9" s="1"/>
  <c r="E52" i="9"/>
  <c r="F52" i="9"/>
  <c r="E53" i="9"/>
  <c r="F53" i="9"/>
  <c r="H54" i="9" s="1"/>
  <c r="J55" i="9" s="1"/>
  <c r="L56" i="9" s="1"/>
  <c r="G53" i="9"/>
  <c r="I54" i="9"/>
  <c r="K55" i="9"/>
  <c r="H53" i="9"/>
  <c r="J54" i="9" s="1"/>
  <c r="L55" i="9" s="1"/>
  <c r="E54" i="9"/>
  <c r="F54" i="9"/>
  <c r="G54" i="9"/>
  <c r="I55" i="9" s="1"/>
  <c r="K56" i="9" s="1"/>
  <c r="E55" i="9"/>
  <c r="F55" i="9"/>
  <c r="H56" i="9" s="1"/>
  <c r="J57" i="9" s="1"/>
  <c r="L58" i="9" s="1"/>
  <c r="E56" i="9"/>
  <c r="G57" i="9"/>
  <c r="F56" i="9"/>
  <c r="H57" i="9" s="1"/>
  <c r="G56" i="9"/>
  <c r="I57" i="9" s="1"/>
  <c r="K58" i="9" s="1"/>
  <c r="E57" i="9"/>
  <c r="F57" i="9"/>
  <c r="H58" i="9" s="1"/>
  <c r="J59" i="9" s="1"/>
  <c r="L60" i="9" s="1"/>
  <c r="J58" i="9"/>
  <c r="L59" i="9" s="1"/>
  <c r="E58" i="9"/>
  <c r="F58" i="9"/>
  <c r="G58" i="9"/>
  <c r="I59" i="9" s="1"/>
  <c r="K60" i="9" s="1"/>
  <c r="I58" i="9"/>
  <c r="E59" i="9"/>
  <c r="F59" i="9"/>
  <c r="K59" i="9"/>
  <c r="E60" i="9"/>
  <c r="G61" i="9"/>
  <c r="F60" i="9"/>
  <c r="G60" i="9"/>
  <c r="I61" i="9" s="1"/>
  <c r="K62" i="9" s="1"/>
  <c r="H60" i="9"/>
  <c r="J61" i="9"/>
  <c r="L62" i="9" s="1"/>
  <c r="E61" i="9"/>
  <c r="F61" i="9"/>
  <c r="H62" i="9" s="1"/>
  <c r="J63" i="9" s="1"/>
  <c r="L64" i="9" s="1"/>
  <c r="H61" i="9"/>
  <c r="J62" i="9" s="1"/>
  <c r="L63" i="9" s="1"/>
  <c r="E62" i="9"/>
  <c r="F62" i="9"/>
  <c r="G62" i="9"/>
  <c r="I63" i="9"/>
  <c r="K64" i="9" s="1"/>
  <c r="I62" i="9"/>
  <c r="E63" i="9"/>
  <c r="G64" i="9" s="1"/>
  <c r="I65" i="9" s="1"/>
  <c r="F63" i="9"/>
  <c r="H64" i="9" s="1"/>
  <c r="J65" i="9" s="1"/>
  <c r="K63" i="9"/>
  <c r="E64" i="9"/>
  <c r="G65" i="9"/>
  <c r="F64" i="9"/>
  <c r="H65" i="9" s="1"/>
  <c r="E65" i="9"/>
  <c r="F65" i="9"/>
  <c r="O5" i="8"/>
  <c r="N6" i="8"/>
  <c r="A6" i="8"/>
  <c r="A7" i="8"/>
  <c r="A8" i="8"/>
  <c r="A9" i="8"/>
  <c r="A10" i="8" s="1"/>
  <c r="A11" i="8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E6" i="8"/>
  <c r="F6" i="8"/>
  <c r="G6" i="8"/>
  <c r="I7" i="8"/>
  <c r="H6" i="8"/>
  <c r="J7" i="8"/>
  <c r="I6" i="8"/>
  <c r="J6" i="8"/>
  <c r="L7" i="8" s="1"/>
  <c r="K6" i="8"/>
  <c r="L6" i="8"/>
  <c r="P6" i="8"/>
  <c r="P7" i="8" s="1"/>
  <c r="P8" i="8" s="1"/>
  <c r="E7" i="8"/>
  <c r="F7" i="8"/>
  <c r="G7" i="8"/>
  <c r="I8" i="8"/>
  <c r="H7" i="8"/>
  <c r="J8" i="8" s="1"/>
  <c r="L9" i="8" s="1"/>
  <c r="K7" i="8"/>
  <c r="E8" i="8"/>
  <c r="F8" i="8"/>
  <c r="H9" i="8" s="1"/>
  <c r="J10" i="8" s="1"/>
  <c r="G8" i="8"/>
  <c r="I9" i="8" s="1"/>
  <c r="K10" i="8" s="1"/>
  <c r="H8" i="8"/>
  <c r="J9" i="8" s="1"/>
  <c r="L10" i="8" s="1"/>
  <c r="K8" i="8"/>
  <c r="L8" i="8"/>
  <c r="E9" i="8"/>
  <c r="F9" i="8"/>
  <c r="G9" i="8"/>
  <c r="I10" i="8" s="1"/>
  <c r="K11" i="8" s="1"/>
  <c r="L11" i="8"/>
  <c r="K9" i="8"/>
  <c r="E10" i="8"/>
  <c r="F10" i="8"/>
  <c r="H11" i="8" s="1"/>
  <c r="J12" i="8" s="1"/>
  <c r="G10" i="8"/>
  <c r="I11" i="8" s="1"/>
  <c r="K12" i="8" s="1"/>
  <c r="H10" i="8"/>
  <c r="J11" i="8" s="1"/>
  <c r="L12" i="8" s="1"/>
  <c r="E11" i="8"/>
  <c r="F11" i="8"/>
  <c r="G11" i="8"/>
  <c r="I12" i="8" s="1"/>
  <c r="K13" i="8" s="1"/>
  <c r="L13" i="8"/>
  <c r="E12" i="8"/>
  <c r="F12" i="8"/>
  <c r="H13" i="8" s="1"/>
  <c r="J14" i="8" s="1"/>
  <c r="G12" i="8"/>
  <c r="I13" i="8" s="1"/>
  <c r="K14" i="8" s="1"/>
  <c r="H12" i="8"/>
  <c r="J13" i="8" s="1"/>
  <c r="L14" i="8" s="1"/>
  <c r="E13" i="8"/>
  <c r="F13" i="8"/>
  <c r="G13" i="8"/>
  <c r="I14" i="8" s="1"/>
  <c r="K15" i="8" s="1"/>
  <c r="L15" i="8"/>
  <c r="E14" i="8"/>
  <c r="G15" i="8" s="1"/>
  <c r="I16" i="8" s="1"/>
  <c r="F14" i="8"/>
  <c r="G14" i="8"/>
  <c r="I15" i="8" s="1"/>
  <c r="K16" i="8" s="1"/>
  <c r="H14" i="8"/>
  <c r="J15" i="8" s="1"/>
  <c r="L16" i="8" s="1"/>
  <c r="E15" i="8"/>
  <c r="G16" i="8" s="1"/>
  <c r="I17" i="8" s="1"/>
  <c r="K18" i="8" s="1"/>
  <c r="F15" i="8"/>
  <c r="H15" i="8"/>
  <c r="J16" i="8"/>
  <c r="L17" i="8" s="1"/>
  <c r="E16" i="8"/>
  <c r="G17" i="8" s="1"/>
  <c r="I18" i="8" s="1"/>
  <c r="K19" i="8" s="1"/>
  <c r="F16" i="8"/>
  <c r="E17" i="8"/>
  <c r="F17" i="8"/>
  <c r="H17" i="8"/>
  <c r="J18" i="8" s="1"/>
  <c r="L19" i="8" s="1"/>
  <c r="K17" i="8"/>
  <c r="E18" i="8"/>
  <c r="G19" i="8" s="1"/>
  <c r="I20" i="8" s="1"/>
  <c r="F18" i="8"/>
  <c r="E19" i="8"/>
  <c r="G20" i="8" s="1"/>
  <c r="I21" i="8" s="1"/>
  <c r="F19" i="8"/>
  <c r="H20" i="8" s="1"/>
  <c r="J21" i="8"/>
  <c r="L22" i="8" s="1"/>
  <c r="E20" i="8"/>
  <c r="G21" i="8" s="1"/>
  <c r="I22" i="8" s="1"/>
  <c r="K23" i="8" s="1"/>
  <c r="F20" i="8"/>
  <c r="H21" i="8" s="1"/>
  <c r="J22" i="8" s="1"/>
  <c r="L23" i="8" s="1"/>
  <c r="K22" i="8"/>
  <c r="E21" i="8"/>
  <c r="F21" i="8"/>
  <c r="K21" i="8"/>
  <c r="E22" i="8"/>
  <c r="F22" i="8"/>
  <c r="E23" i="8"/>
  <c r="G24" i="8" s="1"/>
  <c r="I25" i="8" s="1"/>
  <c r="F23" i="8"/>
  <c r="E24" i="8"/>
  <c r="G25" i="8" s="1"/>
  <c r="F24" i="8"/>
  <c r="H25" i="8" s="1"/>
  <c r="J26" i="8" s="1"/>
  <c r="L27" i="8" s="1"/>
  <c r="K26" i="8"/>
  <c r="E25" i="8"/>
  <c r="G26" i="8" s="1"/>
  <c r="F25" i="8"/>
  <c r="I26" i="8"/>
  <c r="K27" i="8" s="1"/>
  <c r="E26" i="8"/>
  <c r="G27" i="8" s="1"/>
  <c r="I28" i="8" s="1"/>
  <c r="K29" i="8" s="1"/>
  <c r="F26" i="8"/>
  <c r="I27" i="8"/>
  <c r="K28" i="8" s="1"/>
  <c r="H26" i="8"/>
  <c r="E27" i="8"/>
  <c r="F27" i="8"/>
  <c r="H28" i="8"/>
  <c r="J29" i="8" s="1"/>
  <c r="L30" i="8" s="1"/>
  <c r="H27" i="8"/>
  <c r="J28" i="8" s="1"/>
  <c r="L29" i="8" s="1"/>
  <c r="J27" i="8"/>
  <c r="L28" i="8" s="1"/>
  <c r="E28" i="8"/>
  <c r="G29" i="8" s="1"/>
  <c r="F28" i="8"/>
  <c r="G28" i="8"/>
  <c r="I29" i="8" s="1"/>
  <c r="K30" i="8" s="1"/>
  <c r="E29" i="8"/>
  <c r="G30" i="8" s="1"/>
  <c r="I31" i="8" s="1"/>
  <c r="K32" i="8" s="1"/>
  <c r="F29" i="8"/>
  <c r="H30" i="8" s="1"/>
  <c r="I30" i="8"/>
  <c r="K31" i="8" s="1"/>
  <c r="E30" i="8"/>
  <c r="F30" i="8"/>
  <c r="H31" i="8"/>
  <c r="E31" i="8"/>
  <c r="F31" i="8"/>
  <c r="H32" i="8" s="1"/>
  <c r="J33" i="8" s="1"/>
  <c r="L34" i="8" s="1"/>
  <c r="G31" i="8"/>
  <c r="I32" i="8" s="1"/>
  <c r="K33" i="8"/>
  <c r="J31" i="8"/>
  <c r="L32" i="8" s="1"/>
  <c r="E32" i="8"/>
  <c r="G33" i="8" s="1"/>
  <c r="F32" i="8"/>
  <c r="G32" i="8"/>
  <c r="I33" i="8"/>
  <c r="K34" i="8" s="1"/>
  <c r="J32" i="8"/>
  <c r="L33" i="8" s="1"/>
  <c r="E33" i="8"/>
  <c r="G34" i="8" s="1"/>
  <c r="I35" i="8" s="1"/>
  <c r="F33" i="8"/>
  <c r="H34" i="8" s="1"/>
  <c r="J35" i="8" s="1"/>
  <c r="L36" i="8" s="1"/>
  <c r="I34" i="8"/>
  <c r="K35" i="8" s="1"/>
  <c r="E34" i="8"/>
  <c r="F34" i="8"/>
  <c r="H35" i="8"/>
  <c r="J36" i="8" s="1"/>
  <c r="K36" i="8"/>
  <c r="E35" i="8"/>
  <c r="F35" i="8"/>
  <c r="H36" i="8" s="1"/>
  <c r="J37" i="8" s="1"/>
  <c r="L38" i="8" s="1"/>
  <c r="G35" i="8"/>
  <c r="I36" i="8"/>
  <c r="E36" i="8"/>
  <c r="G37" i="8" s="1"/>
  <c r="I38" i="8" s="1"/>
  <c r="K39" i="8" s="1"/>
  <c r="F36" i="8"/>
  <c r="G36" i="8"/>
  <c r="I37" i="8" s="1"/>
  <c r="L37" i="8"/>
  <c r="E37" i="8"/>
  <c r="G38" i="8" s="1"/>
  <c r="I39" i="8" s="1"/>
  <c r="K40" i="8" s="1"/>
  <c r="F37" i="8"/>
  <c r="K37" i="8"/>
  <c r="E38" i="8"/>
  <c r="F38" i="8"/>
  <c r="H39" i="8" s="1"/>
  <c r="J40" i="8"/>
  <c r="L41" i="8" s="1"/>
  <c r="K38" i="8"/>
  <c r="E39" i="8"/>
  <c r="F39" i="8"/>
  <c r="H40" i="8"/>
  <c r="J41" i="8" s="1"/>
  <c r="L42" i="8" s="1"/>
  <c r="G39" i="8"/>
  <c r="I40" i="8" s="1"/>
  <c r="K41" i="8" s="1"/>
  <c r="E40" i="8"/>
  <c r="G41" i="8"/>
  <c r="I42" i="8"/>
  <c r="K43" i="8" s="1"/>
  <c r="F40" i="8"/>
  <c r="G40" i="8"/>
  <c r="E41" i="8"/>
  <c r="G42" i="8" s="1"/>
  <c r="I43" i="8" s="1"/>
  <c r="K44" i="8" s="1"/>
  <c r="F41" i="8"/>
  <c r="H42" i="8" s="1"/>
  <c r="J43" i="8" s="1"/>
  <c r="L44" i="8" s="1"/>
  <c r="I41" i="8"/>
  <c r="K42" i="8" s="1"/>
  <c r="E42" i="8"/>
  <c r="G43" i="8"/>
  <c r="I44" i="8" s="1"/>
  <c r="K45" i="8" s="1"/>
  <c r="F42" i="8"/>
  <c r="E43" i="8"/>
  <c r="G44" i="8"/>
  <c r="I45" i="8" s="1"/>
  <c r="K46" i="8" s="1"/>
  <c r="F43" i="8"/>
  <c r="E44" i="8"/>
  <c r="F44" i="8"/>
  <c r="H45" i="8" s="1"/>
  <c r="J46" i="8" s="1"/>
  <c r="E45" i="8"/>
  <c r="G46" i="8" s="1"/>
  <c r="I47" i="8" s="1"/>
  <c r="F45" i="8"/>
  <c r="G45" i="8"/>
  <c r="I46" i="8"/>
  <c r="K47" i="8" s="1"/>
  <c r="E46" i="8"/>
  <c r="G47" i="8" s="1"/>
  <c r="I48" i="8" s="1"/>
  <c r="F46" i="8"/>
  <c r="H47" i="8"/>
  <c r="J48" i="8" s="1"/>
  <c r="K48" i="8"/>
  <c r="E47" i="8"/>
  <c r="G48" i="8" s="1"/>
  <c r="I49" i="8" s="1"/>
  <c r="K50" i="8" s="1"/>
  <c r="F47" i="8"/>
  <c r="H48" i="8" s="1"/>
  <c r="J49" i="8" s="1"/>
  <c r="E48" i="8"/>
  <c r="G49" i="8" s="1"/>
  <c r="I50" i="8" s="1"/>
  <c r="K51" i="8" s="1"/>
  <c r="F48" i="8"/>
  <c r="H49" i="8" s="1"/>
  <c r="L49" i="8"/>
  <c r="E49" i="8"/>
  <c r="G50" i="8" s="1"/>
  <c r="F49" i="8"/>
  <c r="K49" i="8"/>
  <c r="E50" i="8"/>
  <c r="F50" i="8"/>
  <c r="E51" i="8"/>
  <c r="G52" i="8" s="1"/>
  <c r="I53" i="8" s="1"/>
  <c r="K54" i="8" s="1"/>
  <c r="F51" i="8"/>
  <c r="I51" i="8"/>
  <c r="K52" i="8" s="1"/>
  <c r="E52" i="8"/>
  <c r="G53" i="8" s="1"/>
  <c r="I54" i="8" s="1"/>
  <c r="K55" i="8" s="1"/>
  <c r="F52" i="8"/>
  <c r="E53" i="8"/>
  <c r="G54" i="8" s="1"/>
  <c r="F53" i="8"/>
  <c r="E54" i="8"/>
  <c r="G55" i="8" s="1"/>
  <c r="I56" i="8" s="1"/>
  <c r="K57" i="8" s="1"/>
  <c r="F54" i="8"/>
  <c r="E55" i="8"/>
  <c r="G56" i="8" s="1"/>
  <c r="F55" i="8"/>
  <c r="I55" i="8"/>
  <c r="K56" i="8" s="1"/>
  <c r="E56" i="8"/>
  <c r="F56" i="8"/>
  <c r="I57" i="8"/>
  <c r="K58" i="8" s="1"/>
  <c r="E57" i="8"/>
  <c r="F57" i="8"/>
  <c r="H58" i="8"/>
  <c r="J59" i="8" s="1"/>
  <c r="L60" i="8" s="1"/>
  <c r="G57" i="8"/>
  <c r="I58" i="8" s="1"/>
  <c r="K59" i="8" s="1"/>
  <c r="E58" i="8"/>
  <c r="G59" i="8"/>
  <c r="I60" i="8" s="1"/>
  <c r="K61" i="8" s="1"/>
  <c r="F58" i="8"/>
  <c r="H59" i="8" s="1"/>
  <c r="G58" i="8"/>
  <c r="I59" i="8" s="1"/>
  <c r="K60" i="8" s="1"/>
  <c r="E59" i="8"/>
  <c r="G60" i="8"/>
  <c r="I61" i="8" s="1"/>
  <c r="K62" i="8" s="1"/>
  <c r="F59" i="8"/>
  <c r="H60" i="8" s="1"/>
  <c r="J61" i="8" s="1"/>
  <c r="E60" i="8"/>
  <c r="F60" i="8"/>
  <c r="H61" i="8" s="1"/>
  <c r="J62" i="8" s="1"/>
  <c r="E61" i="8"/>
  <c r="F61" i="8"/>
  <c r="G61" i="8"/>
  <c r="E62" i="8"/>
  <c r="F62" i="8"/>
  <c r="H63" i="8"/>
  <c r="J64" i="8" s="1"/>
  <c r="L65" i="8" s="1"/>
  <c r="I62" i="8"/>
  <c r="K63" i="8" s="1"/>
  <c r="E63" i="8"/>
  <c r="G64" i="8" s="1"/>
  <c r="I65" i="8" s="1"/>
  <c r="F63" i="8"/>
  <c r="H64" i="8"/>
  <c r="J65" i="8" s="1"/>
  <c r="G63" i="8"/>
  <c r="I64" i="8"/>
  <c r="K65" i="8"/>
  <c r="E64" i="8"/>
  <c r="G65" i="8"/>
  <c r="F64" i="8"/>
  <c r="E65" i="8"/>
  <c r="F65" i="8"/>
  <c r="J60" i="8"/>
  <c r="L61" i="8" s="1"/>
  <c r="L50" i="8"/>
  <c r="H43" i="8"/>
  <c r="J44" i="8" s="1"/>
  <c r="L45" i="8" s="1"/>
  <c r="H65" i="8"/>
  <c r="L62" i="8"/>
  <c r="H55" i="8"/>
  <c r="J56" i="8" s="1"/>
  <c r="L57" i="8"/>
  <c r="H44" i="8"/>
  <c r="J45" i="8" s="1"/>
  <c r="L46" i="8" s="1"/>
  <c r="H45" i="9"/>
  <c r="J46" i="9" s="1"/>
  <c r="L47" i="9" s="1"/>
  <c r="G45" i="9"/>
  <c r="I46" i="9"/>
  <c r="K47" i="9"/>
  <c r="H55" i="9"/>
  <c r="J56" i="9" s="1"/>
  <c r="L57" i="9"/>
  <c r="G55" i="9"/>
  <c r="I56" i="9" s="1"/>
  <c r="K57" i="9" s="1"/>
  <c r="O6" i="8"/>
  <c r="N7" i="8" s="1"/>
  <c r="G63" i="9"/>
  <c r="I64" i="9" s="1"/>
  <c r="K65" i="9" s="1"/>
  <c r="H63" i="9"/>
  <c r="J64" i="9" s="1"/>
  <c r="L65" i="9" s="1"/>
  <c r="G52" i="9"/>
  <c r="I53" i="9"/>
  <c r="K54" i="9" s="1"/>
  <c r="H52" i="9"/>
  <c r="J53" i="9"/>
  <c r="L54" i="9" s="1"/>
  <c r="L63" i="8"/>
  <c r="H57" i="8"/>
  <c r="J58" i="8" s="1"/>
  <c r="L59" i="8" s="1"/>
  <c r="H53" i="8"/>
  <c r="J54" i="8" s="1"/>
  <c r="L55" i="8" s="1"/>
  <c r="J50" i="8"/>
  <c r="L51" i="8" s="1"/>
  <c r="L47" i="8"/>
  <c r="H41" i="8"/>
  <c r="J42" i="8" s="1"/>
  <c r="L43" i="8" s="1"/>
  <c r="P9" i="8"/>
  <c r="G59" i="9"/>
  <c r="I60" i="9" s="1"/>
  <c r="K61" i="9" s="1"/>
  <c r="H59" i="9"/>
  <c r="J60" i="9" s="1"/>
  <c r="L61" i="9" s="1"/>
  <c r="H43" i="9"/>
  <c r="J44" i="9"/>
  <c r="L45" i="9"/>
  <c r="G43" i="9"/>
  <c r="I44" i="9" s="1"/>
  <c r="K45" i="9"/>
  <c r="H49" i="9"/>
  <c r="J50" i="9" s="1"/>
  <c r="L51" i="9" s="1"/>
  <c r="G49" i="9"/>
  <c r="I50" i="9" s="1"/>
  <c r="K51" i="9" s="1"/>
  <c r="H47" i="9"/>
  <c r="J48" i="9"/>
  <c r="L49" i="9"/>
  <c r="G47" i="9"/>
  <c r="I48" i="9" s="1"/>
  <c r="K49" i="9"/>
  <c r="G41" i="9"/>
  <c r="I42" i="9" s="1"/>
  <c r="K43" i="9" s="1"/>
  <c r="O7" i="8"/>
  <c r="P10" i="8" l="1"/>
  <c r="N8" i="8"/>
  <c r="O6" i="9"/>
  <c r="N7" i="9" s="1"/>
  <c r="P7" i="9"/>
  <c r="G62" i="8"/>
  <c r="I63" i="8" s="1"/>
  <c r="K64" i="8" s="1"/>
  <c r="H62" i="8"/>
  <c r="J63" i="8" s="1"/>
  <c r="L64" i="8" s="1"/>
  <c r="G51" i="8"/>
  <c r="I52" i="8" s="1"/>
  <c r="K53" i="8" s="1"/>
  <c r="H51" i="8"/>
  <c r="J52" i="8" s="1"/>
  <c r="L53" i="8" s="1"/>
  <c r="G23" i="8"/>
  <c r="I24" i="8" s="1"/>
  <c r="K25" i="8" s="1"/>
  <c r="H23" i="8"/>
  <c r="J24" i="8" s="1"/>
  <c r="L25" i="8" s="1"/>
  <c r="H18" i="8"/>
  <c r="J19" i="8" s="1"/>
  <c r="L20" i="8" s="1"/>
  <c r="G18" i="8"/>
  <c r="I19" i="8" s="1"/>
  <c r="K20" i="8" s="1"/>
  <c r="H22" i="8"/>
  <c r="J23" i="8" s="1"/>
  <c r="L24" i="8" s="1"/>
  <c r="G22" i="8"/>
  <c r="I23" i="8" s="1"/>
  <c r="K24" i="8" s="1"/>
  <c r="H56" i="8"/>
  <c r="J57" i="8" s="1"/>
  <c r="L58" i="8" s="1"/>
  <c r="H54" i="8"/>
  <c r="J55" i="8" s="1"/>
  <c r="L56" i="8" s="1"/>
  <c r="H50" i="8"/>
  <c r="J51" i="8" s="1"/>
  <c r="L52" i="8" s="1"/>
  <c r="H46" i="8"/>
  <c r="J47" i="8" s="1"/>
  <c r="L48" i="8" s="1"/>
  <c r="H38" i="8"/>
  <c r="J39" i="8" s="1"/>
  <c r="L40" i="8" s="1"/>
  <c r="H33" i="8"/>
  <c r="J34" i="8" s="1"/>
  <c r="L35" i="8" s="1"/>
  <c r="H29" i="8"/>
  <c r="J30" i="8" s="1"/>
  <c r="L31" i="8" s="1"/>
  <c r="H24" i="8"/>
  <c r="J25" i="8" s="1"/>
  <c r="L26" i="8" s="1"/>
  <c r="H19" i="8"/>
  <c r="J20" i="8" s="1"/>
  <c r="L21" i="8" s="1"/>
  <c r="H52" i="8"/>
  <c r="J53" i="8" s="1"/>
  <c r="L54" i="8" s="1"/>
  <c r="H37" i="8"/>
  <c r="J38" i="8" s="1"/>
  <c r="L39" i="8" s="1"/>
  <c r="H16" i="8"/>
  <c r="J17" i="8" s="1"/>
  <c r="L18" i="8" s="1"/>
  <c r="H46" i="9"/>
  <c r="J47" i="9" s="1"/>
  <c r="L48" i="9" s="1"/>
  <c r="H39" i="9"/>
  <c r="J40" i="9" s="1"/>
  <c r="L41" i="9" s="1"/>
  <c r="H38" i="9"/>
  <c r="J39" i="9" s="1"/>
  <c r="L40" i="9" s="1"/>
  <c r="H33" i="9"/>
  <c r="J34" i="9" s="1"/>
  <c r="L35" i="9" s="1"/>
  <c r="H11" i="9"/>
  <c r="J12" i="9" s="1"/>
  <c r="L13" i="9" s="1"/>
  <c r="O8" i="8" l="1"/>
  <c r="N9" i="8"/>
  <c r="P8" i="9"/>
  <c r="O7" i="9"/>
  <c r="P11" i="8"/>
  <c r="N8" i="9"/>
  <c r="O9" i="8" l="1"/>
  <c r="N10" i="8" s="1"/>
  <c r="P12" i="8"/>
  <c r="P9" i="9"/>
  <c r="O8" i="9"/>
  <c r="N9" i="9" s="1"/>
  <c r="O10" i="8" l="1"/>
  <c r="N11" i="8" s="1"/>
  <c r="P13" i="8"/>
  <c r="P10" i="9"/>
  <c r="O9" i="9"/>
  <c r="N10" i="9" s="1"/>
  <c r="O11" i="8" l="1"/>
  <c r="N12" i="8" s="1"/>
  <c r="P11" i="9"/>
  <c r="O10" i="9"/>
  <c r="N11" i="9" s="1"/>
  <c r="P14" i="8"/>
  <c r="N12" i="9" l="1"/>
  <c r="N13" i="8"/>
  <c r="O12" i="8"/>
  <c r="P15" i="8"/>
  <c r="P12" i="9"/>
  <c r="O11" i="9"/>
  <c r="O13" i="8" l="1"/>
  <c r="N14" i="8" s="1"/>
  <c r="P13" i="9"/>
  <c r="O12" i="9"/>
  <c r="N13" i="9" s="1"/>
  <c r="P16" i="8"/>
  <c r="O14" i="8" l="1"/>
  <c r="N15" i="8" s="1"/>
  <c r="P17" i="8"/>
  <c r="P14" i="9"/>
  <c r="O13" i="9"/>
  <c r="N14" i="9" s="1"/>
  <c r="O15" i="8" l="1"/>
  <c r="N16" i="8" s="1"/>
  <c r="P15" i="9"/>
  <c r="O14" i="9"/>
  <c r="N15" i="9" s="1"/>
  <c r="P18" i="8"/>
  <c r="N16" i="9" l="1"/>
  <c r="N17" i="8"/>
  <c r="O16" i="8"/>
  <c r="P16" i="9"/>
  <c r="O15" i="9"/>
  <c r="P19" i="8"/>
  <c r="P17" i="9" l="1"/>
  <c r="O16" i="9"/>
  <c r="N17" i="9" s="1"/>
  <c r="O17" i="8"/>
  <c r="N18" i="8" s="1"/>
  <c r="P20" i="8"/>
  <c r="O18" i="8" l="1"/>
  <c r="N19" i="8" s="1"/>
  <c r="P21" i="8"/>
  <c r="P18" i="9"/>
  <c r="O17" i="9"/>
  <c r="N18" i="9" s="1"/>
  <c r="O19" i="8" l="1"/>
  <c r="N20" i="8" s="1"/>
  <c r="P22" i="8"/>
  <c r="P19" i="9"/>
  <c r="O18" i="9"/>
  <c r="N19" i="9" s="1"/>
  <c r="N21" i="8" l="1"/>
  <c r="O20" i="8"/>
  <c r="P20" i="9"/>
  <c r="O19" i="9"/>
  <c r="N20" i="9" s="1"/>
  <c r="P23" i="8"/>
  <c r="O21" i="8" l="1"/>
  <c r="N22" i="8" s="1"/>
  <c r="P24" i="8"/>
  <c r="P21" i="9"/>
  <c r="O20" i="9"/>
  <c r="N21" i="9" s="1"/>
  <c r="O22" i="8" l="1"/>
  <c r="N23" i="8" s="1"/>
  <c r="P25" i="8"/>
  <c r="P22" i="9"/>
  <c r="O21" i="9"/>
  <c r="N22" i="9" s="1"/>
  <c r="O23" i="8" l="1"/>
  <c r="N24" i="8" s="1"/>
  <c r="P23" i="9"/>
  <c r="O22" i="9"/>
  <c r="N23" i="9" s="1"/>
  <c r="P26" i="8"/>
  <c r="O24" i="8" l="1"/>
  <c r="N25" i="8" s="1"/>
  <c r="P27" i="8"/>
  <c r="P24" i="9"/>
  <c r="O23" i="9"/>
  <c r="N24" i="9" s="1"/>
  <c r="N26" i="8" l="1"/>
  <c r="O25" i="8"/>
  <c r="P28" i="8"/>
  <c r="P25" i="9"/>
  <c r="O24" i="9"/>
  <c r="N25" i="9" s="1"/>
  <c r="N27" i="8" l="1"/>
  <c r="O26" i="8"/>
  <c r="P26" i="9"/>
  <c r="O25" i="9"/>
  <c r="N26" i="9" s="1"/>
  <c r="P29" i="8"/>
  <c r="P27" i="9" l="1"/>
  <c r="O26" i="9"/>
  <c r="N27" i="9" s="1"/>
  <c r="O27" i="8"/>
  <c r="N28" i="8" s="1"/>
  <c r="P30" i="8"/>
  <c r="N29" i="8" l="1"/>
  <c r="O28" i="8"/>
  <c r="P28" i="9"/>
  <c r="O27" i="9"/>
  <c r="N28" i="9" s="1"/>
  <c r="P31" i="8"/>
  <c r="O29" i="8" l="1"/>
  <c r="N30" i="8" s="1"/>
  <c r="P32" i="8"/>
  <c r="P29" i="9"/>
  <c r="O28" i="9"/>
  <c r="N29" i="9" s="1"/>
  <c r="O30" i="8" l="1"/>
  <c r="N31" i="8" s="1"/>
  <c r="P30" i="9"/>
  <c r="O29" i="9"/>
  <c r="N30" i="9" s="1"/>
  <c r="P33" i="8"/>
  <c r="N31" i="9" l="1"/>
  <c r="N32" i="8"/>
  <c r="O31" i="8"/>
  <c r="P34" i="8"/>
  <c r="P31" i="9"/>
  <c r="O30" i="9"/>
  <c r="P32" i="9" l="1"/>
  <c r="O31" i="9"/>
  <c r="N32" i="9" s="1"/>
  <c r="O32" i="8"/>
  <c r="N33" i="8" s="1"/>
  <c r="P35" i="8"/>
  <c r="O33" i="8" l="1"/>
  <c r="N34" i="8" s="1"/>
  <c r="P36" i="8"/>
  <c r="P33" i="9"/>
  <c r="O32" i="9"/>
  <c r="N33" i="9" s="1"/>
  <c r="N35" i="8" l="1"/>
  <c r="O34" i="8"/>
  <c r="P37" i="8"/>
  <c r="P34" i="9"/>
  <c r="O33" i="9"/>
  <c r="N34" i="9" s="1"/>
  <c r="P35" i="9" l="1"/>
  <c r="O34" i="9"/>
  <c r="N35" i="9" s="1"/>
  <c r="N36" i="8"/>
  <c r="O35" i="8"/>
  <c r="P38" i="8"/>
  <c r="N36" i="9" l="1"/>
  <c r="O36" i="8"/>
  <c r="N37" i="8" s="1"/>
  <c r="P39" i="8"/>
  <c r="O35" i="9"/>
  <c r="P36" i="9"/>
  <c r="O37" i="8" l="1"/>
  <c r="N38" i="8" s="1"/>
  <c r="P40" i="8"/>
  <c r="P37" i="9"/>
  <c r="O36" i="9"/>
  <c r="N37" i="9" s="1"/>
  <c r="N39" i="8" l="1"/>
  <c r="O38" i="8"/>
  <c r="P41" i="8"/>
  <c r="P38" i="9"/>
  <c r="O37" i="9"/>
  <c r="N38" i="9" s="1"/>
  <c r="P39" i="9" l="1"/>
  <c r="O38" i="9"/>
  <c r="N39" i="9" s="1"/>
  <c r="P42" i="8"/>
  <c r="O39" i="8"/>
  <c r="N40" i="8" s="1"/>
  <c r="N40" i="9" l="1"/>
  <c r="N41" i="8"/>
  <c r="O40" i="8"/>
  <c r="P40" i="9"/>
  <c r="O39" i="9"/>
  <c r="P43" i="8"/>
  <c r="P44" i="8" l="1"/>
  <c r="P41" i="9"/>
  <c r="O40" i="9"/>
  <c r="O41" i="8"/>
  <c r="N42" i="8" s="1"/>
  <c r="N41" i="9"/>
  <c r="O42" i="8" l="1"/>
  <c r="N43" i="8" s="1"/>
  <c r="P45" i="8"/>
  <c r="P42" i="9"/>
  <c r="O41" i="9"/>
  <c r="N42" i="9" s="1"/>
  <c r="N44" i="8" l="1"/>
  <c r="O43" i="8"/>
  <c r="P46" i="8"/>
  <c r="P43" i="9"/>
  <c r="O42" i="9"/>
  <c r="N43" i="9" s="1"/>
  <c r="N45" i="8" l="1"/>
  <c r="O44" i="8"/>
  <c r="P44" i="9"/>
  <c r="O43" i="9"/>
  <c r="N44" i="9" s="1"/>
  <c r="P47" i="8"/>
  <c r="O45" i="8" l="1"/>
  <c r="N46" i="8" s="1"/>
  <c r="P45" i="9"/>
  <c r="O44" i="9"/>
  <c r="N45" i="9" s="1"/>
  <c r="P48" i="8"/>
  <c r="O46" i="8" l="1"/>
  <c r="N47" i="8" s="1"/>
  <c r="P46" i="9"/>
  <c r="O45" i="9"/>
  <c r="N46" i="9" s="1"/>
  <c r="P49" i="8"/>
  <c r="O47" i="8" l="1"/>
  <c r="N48" i="8" s="1"/>
  <c r="P47" i="9"/>
  <c r="O46" i="9"/>
  <c r="N47" i="9" s="1"/>
  <c r="P50" i="8"/>
  <c r="O48" i="8" l="1"/>
  <c r="N49" i="8" s="1"/>
  <c r="P51" i="8"/>
  <c r="P48" i="9"/>
  <c r="O47" i="9"/>
  <c r="N48" i="9" s="1"/>
  <c r="N50" i="8" l="1"/>
  <c r="O49" i="8"/>
  <c r="P49" i="9"/>
  <c r="O48" i="9"/>
  <c r="N49" i="9" s="1"/>
  <c r="P52" i="8"/>
  <c r="O50" i="8" l="1"/>
  <c r="N51" i="8" s="1"/>
  <c r="P50" i="9"/>
  <c r="O49" i="9"/>
  <c r="N50" i="9" s="1"/>
  <c r="P53" i="8"/>
  <c r="O51" i="8" l="1"/>
  <c r="N52" i="8" s="1"/>
  <c r="P51" i="9"/>
  <c r="O50" i="9"/>
  <c r="N51" i="9" s="1"/>
  <c r="P54" i="8"/>
  <c r="N52" i="9" l="1"/>
  <c r="N53" i="8"/>
  <c r="O52" i="8"/>
  <c r="P55" i="8"/>
  <c r="P52" i="9"/>
  <c r="O51" i="9"/>
  <c r="P53" i="9" l="1"/>
  <c r="O52" i="9"/>
  <c r="N53" i="9" s="1"/>
  <c r="O53" i="8"/>
  <c r="N54" i="8" s="1"/>
  <c r="P56" i="8"/>
  <c r="O54" i="8" l="1"/>
  <c r="N55" i="8" s="1"/>
  <c r="P57" i="8"/>
  <c r="P54" i="9"/>
  <c r="O53" i="9"/>
  <c r="N54" i="9" s="1"/>
  <c r="N55" i="9" l="1"/>
  <c r="N56" i="8"/>
  <c r="O55" i="8"/>
  <c r="P55" i="9"/>
  <c r="O54" i="9"/>
  <c r="P58" i="8"/>
  <c r="P56" i="9" l="1"/>
  <c r="O55" i="9"/>
  <c r="N56" i="9" s="1"/>
  <c r="O56" i="8"/>
  <c r="N57" i="8" s="1"/>
  <c r="P59" i="8"/>
  <c r="O57" i="8" l="1"/>
  <c r="N58" i="8" s="1"/>
  <c r="P57" i="9"/>
  <c r="O56" i="9"/>
  <c r="N57" i="9" s="1"/>
  <c r="P60" i="8"/>
  <c r="N59" i="8" l="1"/>
  <c r="O58" i="8"/>
  <c r="P58" i="9"/>
  <c r="O57" i="9"/>
  <c r="N58" i="9" s="1"/>
  <c r="P61" i="8"/>
  <c r="O59" i="8" l="1"/>
  <c r="N60" i="8" s="1"/>
  <c r="P59" i="9"/>
  <c r="O58" i="9"/>
  <c r="N59" i="9" s="1"/>
  <c r="P62" i="8"/>
  <c r="O60" i="8" l="1"/>
  <c r="N61" i="8" s="1"/>
  <c r="P60" i="9"/>
  <c r="O59" i="9"/>
  <c r="N60" i="9" s="1"/>
  <c r="P63" i="8"/>
  <c r="O61" i="8" l="1"/>
  <c r="N62" i="8" s="1"/>
  <c r="P61" i="9"/>
  <c r="O60" i="9"/>
  <c r="N61" i="9" s="1"/>
  <c r="P64" i="8"/>
  <c r="O62" i="8" l="1"/>
  <c r="N63" i="8" s="1"/>
  <c r="P65" i="8"/>
  <c r="P62" i="9"/>
  <c r="O61" i="9"/>
  <c r="N62" i="9" s="1"/>
  <c r="O63" i="8" l="1"/>
  <c r="N64" i="8" s="1"/>
  <c r="P63" i="9"/>
  <c r="O62" i="9"/>
  <c r="N63" i="9" s="1"/>
  <c r="N65" i="8" l="1"/>
  <c r="O65" i="8" s="1"/>
  <c r="O64" i="8"/>
  <c r="P64" i="9"/>
  <c r="O63" i="9"/>
  <c r="N64" i="9" s="1"/>
  <c r="P65" i="9" l="1"/>
  <c r="O64" i="9"/>
  <c r="N65" i="9" s="1"/>
  <c r="O65" i="9" l="1"/>
</calcChain>
</file>

<file path=xl/sharedStrings.xml><?xml version="1.0" encoding="utf-8"?>
<sst xmlns="http://schemas.openxmlformats.org/spreadsheetml/2006/main" count="84" uniqueCount="27">
  <si>
    <t xml:space="preserve"> </t>
  </si>
  <si>
    <t>t</t>
  </si>
  <si>
    <t>EG</t>
  </si>
  <si>
    <t>EL</t>
  </si>
  <si>
    <t>external</t>
  </si>
  <si>
    <t>glucose</t>
  </si>
  <si>
    <t>lactose</t>
  </si>
  <si>
    <t>indicator</t>
  </si>
  <si>
    <t>LI</t>
  </si>
  <si>
    <t>enzyme</t>
  </si>
  <si>
    <t>import</t>
  </si>
  <si>
    <t>internal</t>
  </si>
  <si>
    <t>GIE</t>
  </si>
  <si>
    <t>LIE</t>
  </si>
  <si>
    <t>GI</t>
  </si>
  <si>
    <t>IG</t>
  </si>
  <si>
    <t>IL</t>
  </si>
  <si>
    <t>mass</t>
  </si>
  <si>
    <t>M</t>
  </si>
  <si>
    <t>growth</t>
  </si>
  <si>
    <t>g</t>
  </si>
  <si>
    <t>added</t>
  </si>
  <si>
    <t>efficiency</t>
  </si>
  <si>
    <t>LIM</t>
  </si>
  <si>
    <t>GIM</t>
  </si>
  <si>
    <r>
      <t>D</t>
    </r>
    <r>
      <rPr>
        <b/>
        <i/>
        <sz val="9"/>
        <rFont val="Arial"/>
      </rPr>
      <t>t</t>
    </r>
  </si>
  <si>
    <r>
      <t>D</t>
    </r>
    <r>
      <rPr>
        <b/>
        <i/>
        <sz val="9"/>
        <rFont val="Arial"/>
      </rPr>
      <t>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</si>
</sst>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9"/>
      <name val="Arial"/>
    </font>
    <font>
      <b/>
      <sz val="9"/>
      <name val="Arial"/>
    </font>
    <font>
      <b/>
      <sz val="9"/>
      <name val="Arial"/>
      <family val="2"/>
    </font>
    <font>
      <b/>
      <i/>
      <sz val="9"/>
      <name val="Arial"/>
      <family val="2"/>
    </font>
    <font>
      <b/>
      <sz val="9"/>
      <name val="Symbol"/>
      <family val="1"/>
      <charset val="2"/>
    </font>
    <font>
      <b/>
      <i/>
      <sz val="9"/>
      <name val="Arial"/>
    </font>
    <font>
      <b/>
      <i/>
      <sz val="9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EG</a:t>
            </a:r>
          </a:p>
        </c:rich>
      </c:tx>
      <c:layout>
        <c:manualLayout>
          <c:xMode val="edge"/>
          <c:yMode val="edge"/>
          <c:x val="0.46236672028899606"/>
          <c:y val="5.2287581699346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33355209790852E-2"/>
          <c:y val="0.21568765119262659"/>
          <c:w val="0.87097002837814075"/>
          <c:h val="0.5424871226966062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a-b'!$C$5:$C$65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3C-43AF-9CEB-E51CB0960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865520"/>
        <c:axId val="1"/>
      </c:lineChart>
      <c:catAx>
        <c:axId val="1864865520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64865520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EL</a:t>
            </a:r>
          </a:p>
        </c:rich>
      </c:tx>
      <c:layout>
        <c:manualLayout>
          <c:xMode val="edge"/>
          <c:yMode val="edge"/>
          <c:x val="0.46943816619499579"/>
          <c:y val="5.29801324503311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684692901767011E-2"/>
          <c:y val="0.23178882899429906"/>
          <c:w val="0.87041668706148645"/>
          <c:h val="0.5033128858161922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a-b'!$D$5:$D$65</c:f>
              <c:numCache>
                <c:formatCode>General</c:formatCode>
                <c:ptCount val="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D-42AD-9354-05D188C99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871344"/>
        <c:axId val="1"/>
      </c:lineChart>
      <c:catAx>
        <c:axId val="186487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64871344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GI</a:t>
            </a:r>
          </a:p>
        </c:rich>
      </c:tx>
      <c:layout>
        <c:manualLayout>
          <c:xMode val="edge"/>
          <c:yMode val="edge"/>
          <c:x val="0.47043123641802836"/>
          <c:y val="5.29801324503311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39808939770612E-2"/>
          <c:y val="0.23178882899429906"/>
          <c:w val="0.87097002837814075"/>
          <c:h val="0.4966903478449265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a-b'!$E$5:$E$65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E-4D8D-9406-1BACB3581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870928"/>
        <c:axId val="1"/>
      </c:lineChart>
      <c:catAx>
        <c:axId val="186487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64870928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LI</a:t>
            </a:r>
          </a:p>
        </c:rich>
      </c:tx>
      <c:layout>
        <c:manualLayout>
          <c:xMode val="edge"/>
          <c:yMode val="edge"/>
          <c:x val="0.47677312952017914"/>
          <c:y val="5.2287581699346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459739431802308E-2"/>
          <c:y val="0.21568765119262659"/>
          <c:w val="0.89242160330742293"/>
          <c:h val="0.5751670698470042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a-b'!$F$5:$F$65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6-4D53-91A5-A9F34D6E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875920"/>
        <c:axId val="1"/>
      </c:lineChart>
      <c:catAx>
        <c:axId val="186487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64875920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GIE</a:t>
            </a:r>
          </a:p>
        </c:rich>
      </c:tx>
      <c:layout>
        <c:manualLayout>
          <c:xMode val="edge"/>
          <c:yMode val="edge"/>
          <c:x val="0.45699037620297461"/>
          <c:y val="5.75539568345323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709910297773586E-2"/>
          <c:y val="0.25179944567588547"/>
          <c:w val="0.87903456567793825"/>
          <c:h val="0.4388504624636861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a-b'!$G$5:$G$65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1-4EFD-87E9-DAACE9FA2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07680"/>
        <c:axId val="1"/>
      </c:lineChart>
      <c:catAx>
        <c:axId val="181100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1007680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mass</a:t>
            </a:r>
          </a:p>
        </c:rich>
      </c:tx>
      <c:layout>
        <c:manualLayout>
          <c:xMode val="edge"/>
          <c:yMode val="edge"/>
          <c:x val="0.43902552831302594"/>
          <c:y val="4.49999999999999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47195352714665"/>
          <c:y val="0.12"/>
          <c:w val="0.79404004181498189"/>
          <c:h val="0.7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a-b'!$N$5:$N$65</c:f>
              <c:numCache>
                <c:formatCode>0.00</c:formatCode>
                <c:ptCount val="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1.2</c:v>
                </c:pt>
                <c:pt idx="6">
                  <c:v>1.44</c:v>
                </c:pt>
                <c:pt idx="7">
                  <c:v>1.728</c:v>
                </c:pt>
                <c:pt idx="8">
                  <c:v>2.0735999999999999</c:v>
                </c:pt>
                <c:pt idx="9">
                  <c:v>2.4883199999999999</c:v>
                </c:pt>
                <c:pt idx="10">
                  <c:v>2.9859839999999997</c:v>
                </c:pt>
                <c:pt idx="11">
                  <c:v>3.5831807999999996</c:v>
                </c:pt>
                <c:pt idx="12">
                  <c:v>4.2998169599999994</c:v>
                </c:pt>
                <c:pt idx="13">
                  <c:v>5.1597803519999994</c:v>
                </c:pt>
                <c:pt idx="14">
                  <c:v>6.1917364223999991</c:v>
                </c:pt>
                <c:pt idx="15">
                  <c:v>7.4300837068799988</c:v>
                </c:pt>
                <c:pt idx="16">
                  <c:v>8.9161004482559996</c:v>
                </c:pt>
                <c:pt idx="17">
                  <c:v>10.6993205379072</c:v>
                </c:pt>
                <c:pt idx="18">
                  <c:v>12.83918464548864</c:v>
                </c:pt>
                <c:pt idx="19">
                  <c:v>15.407021574586368</c:v>
                </c:pt>
                <c:pt idx="20">
                  <c:v>18.488425889503642</c:v>
                </c:pt>
                <c:pt idx="21">
                  <c:v>22.186111067404369</c:v>
                </c:pt>
                <c:pt idx="22">
                  <c:v>26.623333280885241</c:v>
                </c:pt>
                <c:pt idx="23">
                  <c:v>31.947999937062288</c:v>
                </c:pt>
                <c:pt idx="24">
                  <c:v>38.337599924474745</c:v>
                </c:pt>
                <c:pt idx="25">
                  <c:v>46.005119909369697</c:v>
                </c:pt>
                <c:pt idx="26">
                  <c:v>55.206143891243634</c:v>
                </c:pt>
                <c:pt idx="27">
                  <c:v>66.247372669492364</c:v>
                </c:pt>
                <c:pt idx="28">
                  <c:v>79.496847203390843</c:v>
                </c:pt>
                <c:pt idx="29">
                  <c:v>95.396216644069014</c:v>
                </c:pt>
                <c:pt idx="30">
                  <c:v>95.396216644069014</c:v>
                </c:pt>
                <c:pt idx="31">
                  <c:v>95.396216644069014</c:v>
                </c:pt>
                <c:pt idx="32">
                  <c:v>95.396216644069014</c:v>
                </c:pt>
                <c:pt idx="33">
                  <c:v>95.396216644069014</c:v>
                </c:pt>
                <c:pt idx="34">
                  <c:v>95.396216644069014</c:v>
                </c:pt>
                <c:pt idx="35">
                  <c:v>95.396216644069014</c:v>
                </c:pt>
                <c:pt idx="36">
                  <c:v>95.396216644069014</c:v>
                </c:pt>
                <c:pt idx="37">
                  <c:v>95.396216644069014</c:v>
                </c:pt>
                <c:pt idx="38">
                  <c:v>95.396216644069014</c:v>
                </c:pt>
                <c:pt idx="39">
                  <c:v>95.396216644069014</c:v>
                </c:pt>
                <c:pt idx="40">
                  <c:v>95.396216644069014</c:v>
                </c:pt>
                <c:pt idx="41">
                  <c:v>95.396216644069014</c:v>
                </c:pt>
                <c:pt idx="42">
                  <c:v>114.47545997288282</c:v>
                </c:pt>
                <c:pt idx="43">
                  <c:v>137.37055196745939</c:v>
                </c:pt>
                <c:pt idx="44">
                  <c:v>164.84466236095128</c:v>
                </c:pt>
                <c:pt idx="45">
                  <c:v>164.84466236095128</c:v>
                </c:pt>
                <c:pt idx="46">
                  <c:v>164.84466236095128</c:v>
                </c:pt>
                <c:pt idx="47">
                  <c:v>164.84466236095128</c:v>
                </c:pt>
                <c:pt idx="48">
                  <c:v>197.81359483314154</c:v>
                </c:pt>
                <c:pt idx="49">
                  <c:v>237.37631379976983</c:v>
                </c:pt>
                <c:pt idx="50">
                  <c:v>284.85157655972381</c:v>
                </c:pt>
                <c:pt idx="51">
                  <c:v>341.82189187166858</c:v>
                </c:pt>
                <c:pt idx="52">
                  <c:v>341.82189187166858</c:v>
                </c:pt>
                <c:pt idx="53">
                  <c:v>410.18627024600232</c:v>
                </c:pt>
                <c:pt idx="54">
                  <c:v>492.22352429520276</c:v>
                </c:pt>
                <c:pt idx="55">
                  <c:v>590.66822915424336</c:v>
                </c:pt>
                <c:pt idx="56">
                  <c:v>708.80187498509201</c:v>
                </c:pt>
                <c:pt idx="57">
                  <c:v>850.56224998211042</c:v>
                </c:pt>
                <c:pt idx="58">
                  <c:v>1020.6746999785325</c:v>
                </c:pt>
                <c:pt idx="59">
                  <c:v>1224.809639974239</c:v>
                </c:pt>
                <c:pt idx="60">
                  <c:v>1469.7715679690868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F2-4B87-8662-BF33D7829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03520"/>
        <c:axId val="1"/>
      </c:lineChart>
      <c:catAx>
        <c:axId val="181100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10035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LIE</a:t>
            </a:r>
          </a:p>
        </c:rich>
      </c:tx>
      <c:layout>
        <c:manualLayout>
          <c:xMode val="edge"/>
          <c:yMode val="edge"/>
          <c:x val="0.46454819064487352"/>
          <c:y val="5.88235294117647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904730125795248E-2"/>
          <c:y val="0.26470683273075862"/>
          <c:w val="0.88508663122544418"/>
          <c:h val="0.4558839897029731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a-b'!$H$5:$H$65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6-421E-8BF1-4106CBE84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11840"/>
        <c:axId val="1"/>
      </c:lineChart>
      <c:catAx>
        <c:axId val="181101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1011840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GIM</a:t>
            </a:r>
          </a:p>
        </c:rich>
      </c:tx>
      <c:layout>
        <c:manualLayout>
          <c:xMode val="edge"/>
          <c:yMode val="edge"/>
          <c:x val="0.4555256064690027"/>
          <c:y val="5.2287581699346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644204851752023E-2"/>
          <c:y val="0.24836759834302455"/>
          <c:w val="0.87061994609164417"/>
          <c:h val="0.483663217825889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a-b'!$I$5:$I$65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E-46EC-904F-22C07D81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08928"/>
        <c:axId val="1"/>
      </c:lineChart>
      <c:catAx>
        <c:axId val="181100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1008928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LIM</a:t>
            </a:r>
          </a:p>
        </c:rich>
      </c:tx>
      <c:layout>
        <c:manualLayout>
          <c:xMode val="edge"/>
          <c:yMode val="edge"/>
          <c:x val="0.46210320286981238"/>
          <c:y val="5.26315789473684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794711513781129E-2"/>
          <c:y val="0.24342105263157895"/>
          <c:w val="0.89731158469540884"/>
          <c:h val="0.5460526315789473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a-b'!$J$5:$J$65</c:f>
              <c:numCache>
                <c:formatCode>0</c:formatCode>
                <c:ptCount val="6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B-4982-9F08-82AF44FD5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09760"/>
        <c:axId val="1"/>
      </c:lineChart>
      <c:catAx>
        <c:axId val="181100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1009760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IG</a:t>
            </a:r>
          </a:p>
        </c:rich>
      </c:tx>
      <c:layout>
        <c:manualLayout>
          <c:xMode val="edge"/>
          <c:yMode val="edge"/>
          <c:x val="0.47043123641802836"/>
          <c:y val="5.29801324503311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39808939770612E-2"/>
          <c:y val="0.22516629102303337"/>
          <c:w val="0.87097002837814075"/>
          <c:h val="0.5033128858161922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a-b'!$K$5:$K$65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1-4A7D-B1FE-0F0B518A3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444416"/>
        <c:axId val="1"/>
      </c:lineChart>
      <c:catAx>
        <c:axId val="186444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64444416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IL</a:t>
            </a:r>
          </a:p>
        </c:rich>
      </c:tx>
      <c:layout>
        <c:manualLayout>
          <c:xMode val="edge"/>
          <c:yMode val="edge"/>
          <c:x val="0.47677312952017914"/>
          <c:y val="5.2287581699346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684692901767011E-2"/>
          <c:y val="0.22222364062270619"/>
          <c:w val="0.88753162191943713"/>
          <c:h val="0.555559101556765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a-b'!$A$5:$A$65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a-b'!$L$5:$L$65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D0-4CDF-88F0-D670AD1EC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433184"/>
        <c:axId val="1"/>
      </c:lineChart>
      <c:catAx>
        <c:axId val="186443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64433184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EG</a:t>
            </a:r>
          </a:p>
        </c:rich>
      </c:tx>
      <c:layout>
        <c:manualLayout>
          <c:xMode val="edge"/>
          <c:yMode val="edge"/>
          <c:x val="0.46236672028899606"/>
          <c:y val="5.2287581699346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33355209790852E-2"/>
          <c:y val="0.21568765119262659"/>
          <c:w val="0.87097002837814075"/>
          <c:h val="0.5424871226966062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c'!$C$5:$C$65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7-4537-A180-F9AB84912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9559968"/>
        <c:axId val="1"/>
      </c:lineChart>
      <c:catAx>
        <c:axId val="173955996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739559968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EL</a:t>
            </a:r>
          </a:p>
        </c:rich>
      </c:tx>
      <c:layout>
        <c:manualLayout>
          <c:xMode val="edge"/>
          <c:yMode val="edge"/>
          <c:x val="0.46943816619499579"/>
          <c:y val="5.29801324503311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684692901767011E-2"/>
          <c:y val="0.23178882899429906"/>
          <c:w val="0.87041668706148645"/>
          <c:h val="0.5033128858161922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c'!$D$5:$D$65</c:f>
              <c:numCache>
                <c:formatCode>General</c:formatCode>
                <c:ptCount val="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2-49F3-8B33-908FA5B4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548832"/>
        <c:axId val="1"/>
      </c:lineChart>
      <c:catAx>
        <c:axId val="180954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09548832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GI</a:t>
            </a:r>
          </a:p>
        </c:rich>
      </c:tx>
      <c:layout>
        <c:manualLayout>
          <c:xMode val="edge"/>
          <c:yMode val="edge"/>
          <c:x val="0.47043123641802836"/>
          <c:y val="5.29801324503311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39808939770612E-2"/>
          <c:y val="0.23178882899429906"/>
          <c:w val="0.87097002837814075"/>
          <c:h val="0.4966903478449265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c'!$E$5:$E$65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D-42DC-ABF7-61DD9B646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876672"/>
        <c:axId val="1"/>
      </c:lineChart>
      <c:catAx>
        <c:axId val="174187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741876672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LI</a:t>
            </a:r>
          </a:p>
        </c:rich>
      </c:tx>
      <c:layout>
        <c:manualLayout>
          <c:xMode val="edge"/>
          <c:yMode val="edge"/>
          <c:x val="0.47677312952017914"/>
          <c:y val="5.2287581699346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459739431802308E-2"/>
          <c:y val="0.21568765119262659"/>
          <c:w val="0.89242160330742293"/>
          <c:h val="0.5751670698470042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c'!$F$5:$F$65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2-4237-83D9-67A4F7D50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029856"/>
        <c:axId val="1"/>
      </c:lineChart>
      <c:catAx>
        <c:axId val="173702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737029856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GIE</a:t>
            </a:r>
          </a:p>
        </c:rich>
      </c:tx>
      <c:layout>
        <c:manualLayout>
          <c:xMode val="edge"/>
          <c:yMode val="edge"/>
          <c:x val="0.45699037620297461"/>
          <c:y val="5.75539568345323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709910297773586E-2"/>
          <c:y val="0.25179944567588547"/>
          <c:w val="0.87903456567793825"/>
          <c:h val="0.4388504624636861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c'!$G$5:$G$65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8-4867-818D-EBEFDA46A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799616"/>
        <c:axId val="1"/>
      </c:lineChart>
      <c:catAx>
        <c:axId val="181279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2799616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mass</a:t>
            </a:r>
          </a:p>
        </c:rich>
      </c:tx>
      <c:layout>
        <c:manualLayout>
          <c:xMode val="edge"/>
          <c:yMode val="edge"/>
          <c:x val="0.43902552831302594"/>
          <c:y val="4.49999999999999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47195352714665"/>
          <c:y val="0.12"/>
          <c:w val="0.79404004181498189"/>
          <c:h val="0.7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c'!$N$5:$N$65</c:f>
              <c:numCache>
                <c:formatCode>0.00</c:formatCode>
                <c:ptCount val="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1.2</c:v>
                </c:pt>
                <c:pt idx="6">
                  <c:v>1.44</c:v>
                </c:pt>
                <c:pt idx="7">
                  <c:v>1.728</c:v>
                </c:pt>
                <c:pt idx="8">
                  <c:v>2.0735999999999999</c:v>
                </c:pt>
                <c:pt idx="9">
                  <c:v>2.4883199999999999</c:v>
                </c:pt>
                <c:pt idx="10">
                  <c:v>2.9859839999999997</c:v>
                </c:pt>
                <c:pt idx="11">
                  <c:v>3.5831807999999996</c:v>
                </c:pt>
                <c:pt idx="12">
                  <c:v>4.2998169599999994</c:v>
                </c:pt>
                <c:pt idx="13">
                  <c:v>5.1597803519999994</c:v>
                </c:pt>
                <c:pt idx="14">
                  <c:v>6.1917364223999991</c:v>
                </c:pt>
                <c:pt idx="15">
                  <c:v>7.4300837068799988</c:v>
                </c:pt>
                <c:pt idx="16">
                  <c:v>8.9161004482559996</c:v>
                </c:pt>
                <c:pt idx="17">
                  <c:v>10.6993205379072</c:v>
                </c:pt>
                <c:pt idx="18">
                  <c:v>12.83918464548864</c:v>
                </c:pt>
                <c:pt idx="19">
                  <c:v>15.407021574586368</c:v>
                </c:pt>
                <c:pt idx="20">
                  <c:v>18.488425889503642</c:v>
                </c:pt>
                <c:pt idx="21">
                  <c:v>22.186111067404369</c:v>
                </c:pt>
                <c:pt idx="22">
                  <c:v>26.623333280885241</c:v>
                </c:pt>
                <c:pt idx="23">
                  <c:v>31.947999937062288</c:v>
                </c:pt>
                <c:pt idx="24">
                  <c:v>38.337599924474745</c:v>
                </c:pt>
                <c:pt idx="25">
                  <c:v>46.005119909369697</c:v>
                </c:pt>
                <c:pt idx="26">
                  <c:v>55.206143891243634</c:v>
                </c:pt>
                <c:pt idx="27">
                  <c:v>66.247372669492364</c:v>
                </c:pt>
                <c:pt idx="28">
                  <c:v>79.496847203390843</c:v>
                </c:pt>
                <c:pt idx="29">
                  <c:v>95.396216644069014</c:v>
                </c:pt>
                <c:pt idx="30">
                  <c:v>95.396216644069014</c:v>
                </c:pt>
                <c:pt idx="31">
                  <c:v>95.396216644069014</c:v>
                </c:pt>
                <c:pt idx="32">
                  <c:v>95.396216644069014</c:v>
                </c:pt>
                <c:pt idx="33">
                  <c:v>95.396216644069014</c:v>
                </c:pt>
                <c:pt idx="34">
                  <c:v>95.396216644069014</c:v>
                </c:pt>
                <c:pt idx="35">
                  <c:v>95.396216644069014</c:v>
                </c:pt>
                <c:pt idx="36">
                  <c:v>95.396216644069014</c:v>
                </c:pt>
                <c:pt idx="37">
                  <c:v>95.396216644069014</c:v>
                </c:pt>
                <c:pt idx="38">
                  <c:v>95.396216644069014</c:v>
                </c:pt>
                <c:pt idx="39">
                  <c:v>95.396216644069014</c:v>
                </c:pt>
                <c:pt idx="40">
                  <c:v>95.396216644069014</c:v>
                </c:pt>
                <c:pt idx="41">
                  <c:v>95.396216644069014</c:v>
                </c:pt>
                <c:pt idx="42">
                  <c:v>114.47545997288282</c:v>
                </c:pt>
                <c:pt idx="43">
                  <c:v>137.37055196745939</c:v>
                </c:pt>
                <c:pt idx="44">
                  <c:v>164.84466236095128</c:v>
                </c:pt>
                <c:pt idx="45">
                  <c:v>164.84466236095128</c:v>
                </c:pt>
                <c:pt idx="46">
                  <c:v>164.84466236095128</c:v>
                </c:pt>
                <c:pt idx="47">
                  <c:v>164.84466236095128</c:v>
                </c:pt>
                <c:pt idx="48">
                  <c:v>197.81359483314154</c:v>
                </c:pt>
                <c:pt idx="49">
                  <c:v>237.37631379976983</c:v>
                </c:pt>
                <c:pt idx="50">
                  <c:v>284.85157655972381</c:v>
                </c:pt>
                <c:pt idx="51">
                  <c:v>341.82189187166858</c:v>
                </c:pt>
                <c:pt idx="52">
                  <c:v>341.82189187166858</c:v>
                </c:pt>
                <c:pt idx="53">
                  <c:v>410.18627024600232</c:v>
                </c:pt>
                <c:pt idx="54">
                  <c:v>492.22352429520276</c:v>
                </c:pt>
                <c:pt idx="55">
                  <c:v>590.66822915424336</c:v>
                </c:pt>
                <c:pt idx="56">
                  <c:v>708.80187498509201</c:v>
                </c:pt>
                <c:pt idx="57">
                  <c:v>850.56224998211042</c:v>
                </c:pt>
                <c:pt idx="58">
                  <c:v>1020.6746999785325</c:v>
                </c:pt>
                <c:pt idx="59">
                  <c:v>1224.809639974239</c:v>
                </c:pt>
                <c:pt idx="60">
                  <c:v>1469.7715679690868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8-4C36-AA8A-005CBCA61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790880"/>
        <c:axId val="1"/>
      </c:lineChart>
      <c:catAx>
        <c:axId val="181279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2790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LIE</a:t>
            </a:r>
          </a:p>
        </c:rich>
      </c:tx>
      <c:layout>
        <c:manualLayout>
          <c:xMode val="edge"/>
          <c:yMode val="edge"/>
          <c:x val="0.46454819064487352"/>
          <c:y val="5.88235294117647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904730125795248E-2"/>
          <c:y val="0.26470683273075862"/>
          <c:w val="0.88508663122544418"/>
          <c:h val="0.4558839897029731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c'!$H$5:$H$65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9-48C7-AA42-D669EB21A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791712"/>
        <c:axId val="1"/>
      </c:lineChart>
      <c:catAx>
        <c:axId val="181279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2791712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GIM</a:t>
            </a:r>
          </a:p>
        </c:rich>
      </c:tx>
      <c:layout>
        <c:manualLayout>
          <c:xMode val="edge"/>
          <c:yMode val="edge"/>
          <c:x val="0.4555256064690027"/>
          <c:y val="5.2287581699346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644204851752023E-2"/>
          <c:y val="0.24836759834302455"/>
          <c:w val="0.87061994609164417"/>
          <c:h val="0.483663217825889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c'!$I$5:$I$65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9-4D15-8BFA-26563AA42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791296"/>
        <c:axId val="1"/>
      </c:lineChart>
      <c:catAx>
        <c:axId val="181279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2791296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LIM</a:t>
            </a:r>
          </a:p>
        </c:rich>
      </c:tx>
      <c:layout>
        <c:manualLayout>
          <c:xMode val="edge"/>
          <c:yMode val="edge"/>
          <c:x val="0.46210320286981238"/>
          <c:y val="5.26315789473684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794711513781129E-2"/>
          <c:y val="0.24342105263157895"/>
          <c:w val="0.89731158469540884"/>
          <c:h val="0.5460526315789473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c'!$J$5:$J$65</c:f>
              <c:numCache>
                <c:formatCode>0</c:formatCode>
                <c:ptCount val="6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7-47E1-85F0-B9E3C80B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796288"/>
        <c:axId val="1"/>
      </c:lineChart>
      <c:catAx>
        <c:axId val="181279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2796288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IG</a:t>
            </a:r>
          </a:p>
        </c:rich>
      </c:tx>
      <c:layout>
        <c:manualLayout>
          <c:xMode val="edge"/>
          <c:yMode val="edge"/>
          <c:x val="0.47043123641802836"/>
          <c:y val="5.29801324503311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39808939770612E-2"/>
          <c:y val="0.22516629102303337"/>
          <c:w val="0.87097002837814075"/>
          <c:h val="0.5033128858161922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c'!$K$5:$K$65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9-4591-A3D6-1F609A749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794624"/>
        <c:axId val="1"/>
      </c:lineChart>
      <c:catAx>
        <c:axId val="181279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2794624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nl-NL"/>
              <a:t>IL</a:t>
            </a:r>
          </a:p>
        </c:rich>
      </c:tx>
      <c:layout>
        <c:manualLayout>
          <c:xMode val="edge"/>
          <c:yMode val="edge"/>
          <c:x val="0.47677312952017914"/>
          <c:y val="5.22875816993464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684692901767011E-2"/>
          <c:y val="0.22222364062270619"/>
          <c:w val="0.88753162191943713"/>
          <c:h val="0.555559101556765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'exercise c'!$A$5:$A$65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'exercise c'!$L$5:$L$65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2-4CE3-9DBD-C3807197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795040"/>
        <c:axId val="1"/>
      </c:lineChart>
      <c:catAx>
        <c:axId val="181279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812795040"/>
        <c:crosses val="autoZero"/>
        <c:crossBetween val="between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371475</xdr:colOff>
      <xdr:row>5</xdr:row>
      <xdr:rowOff>9525</xdr:rowOff>
    </xdr:from>
    <xdr:to>
      <xdr:col>22</xdr:col>
      <xdr:colOff>85725</xdr:colOff>
      <xdr:row>14</xdr:row>
      <xdr:rowOff>95250</xdr:rowOff>
    </xdr:to>
    <xdr:graphicFrame macro="">
      <xdr:nvGraphicFramePr>
        <xdr:cNvPr id="14852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266700</xdr:colOff>
      <xdr:row>5</xdr:row>
      <xdr:rowOff>9525</xdr:rowOff>
    </xdr:from>
    <xdr:to>
      <xdr:col>27</xdr:col>
      <xdr:colOff>590550</xdr:colOff>
      <xdr:row>14</xdr:row>
      <xdr:rowOff>76200</xdr:rowOff>
    </xdr:to>
    <xdr:graphicFrame macro="">
      <xdr:nvGraphicFramePr>
        <xdr:cNvPr id="14852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371475</xdr:colOff>
      <xdr:row>14</xdr:row>
      <xdr:rowOff>95250</xdr:rowOff>
    </xdr:from>
    <xdr:to>
      <xdr:col>22</xdr:col>
      <xdr:colOff>85725</xdr:colOff>
      <xdr:row>24</xdr:row>
      <xdr:rowOff>9525</xdr:rowOff>
    </xdr:to>
    <xdr:graphicFrame macro="">
      <xdr:nvGraphicFramePr>
        <xdr:cNvPr id="14852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266700</xdr:colOff>
      <xdr:row>14</xdr:row>
      <xdr:rowOff>76200</xdr:rowOff>
    </xdr:from>
    <xdr:to>
      <xdr:col>27</xdr:col>
      <xdr:colOff>590550</xdr:colOff>
      <xdr:row>24</xdr:row>
      <xdr:rowOff>9525</xdr:rowOff>
    </xdr:to>
    <xdr:graphicFrame macro="">
      <xdr:nvGraphicFramePr>
        <xdr:cNvPr id="14852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371475</xdr:colOff>
      <xdr:row>24</xdr:row>
      <xdr:rowOff>9525</xdr:rowOff>
    </xdr:from>
    <xdr:to>
      <xdr:col>22</xdr:col>
      <xdr:colOff>85725</xdr:colOff>
      <xdr:row>32</xdr:row>
      <xdr:rowOff>114300</xdr:rowOff>
    </xdr:to>
    <xdr:graphicFrame macro="">
      <xdr:nvGraphicFramePr>
        <xdr:cNvPr id="148529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371475</xdr:colOff>
      <xdr:row>52</xdr:row>
      <xdr:rowOff>142875</xdr:rowOff>
    </xdr:from>
    <xdr:to>
      <xdr:col>22</xdr:col>
      <xdr:colOff>57150</xdr:colOff>
      <xdr:row>65</xdr:row>
      <xdr:rowOff>66675</xdr:rowOff>
    </xdr:to>
    <xdr:graphicFrame macro="">
      <xdr:nvGraphicFramePr>
        <xdr:cNvPr id="14853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266700</xdr:colOff>
      <xdr:row>24</xdr:row>
      <xdr:rowOff>9525</xdr:rowOff>
    </xdr:from>
    <xdr:to>
      <xdr:col>27</xdr:col>
      <xdr:colOff>590550</xdr:colOff>
      <xdr:row>32</xdr:row>
      <xdr:rowOff>85725</xdr:rowOff>
    </xdr:to>
    <xdr:graphicFrame macro="">
      <xdr:nvGraphicFramePr>
        <xdr:cNvPr id="148531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371475</xdr:colOff>
      <xdr:row>32</xdr:row>
      <xdr:rowOff>114300</xdr:rowOff>
    </xdr:from>
    <xdr:to>
      <xdr:col>22</xdr:col>
      <xdr:colOff>76200</xdr:colOff>
      <xdr:row>42</xdr:row>
      <xdr:rowOff>47625</xdr:rowOff>
    </xdr:to>
    <xdr:graphicFrame macro="">
      <xdr:nvGraphicFramePr>
        <xdr:cNvPr id="14853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266700</xdr:colOff>
      <xdr:row>32</xdr:row>
      <xdr:rowOff>76200</xdr:rowOff>
    </xdr:from>
    <xdr:to>
      <xdr:col>27</xdr:col>
      <xdr:colOff>590550</xdr:colOff>
      <xdr:row>42</xdr:row>
      <xdr:rowOff>0</xdr:rowOff>
    </xdr:to>
    <xdr:graphicFrame macro="">
      <xdr:nvGraphicFramePr>
        <xdr:cNvPr id="148533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371475</xdr:colOff>
      <xdr:row>42</xdr:row>
      <xdr:rowOff>47625</xdr:rowOff>
    </xdr:from>
    <xdr:to>
      <xdr:col>22</xdr:col>
      <xdr:colOff>85725</xdr:colOff>
      <xdr:row>51</xdr:row>
      <xdr:rowOff>114300</xdr:rowOff>
    </xdr:to>
    <xdr:graphicFrame macro="">
      <xdr:nvGraphicFramePr>
        <xdr:cNvPr id="14853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266700</xdr:colOff>
      <xdr:row>42</xdr:row>
      <xdr:rowOff>0</xdr:rowOff>
    </xdr:from>
    <xdr:to>
      <xdr:col>27</xdr:col>
      <xdr:colOff>590550</xdr:colOff>
      <xdr:row>51</xdr:row>
      <xdr:rowOff>85725</xdr:rowOff>
    </xdr:to>
    <xdr:graphicFrame macro="">
      <xdr:nvGraphicFramePr>
        <xdr:cNvPr id="14853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371475</xdr:colOff>
      <xdr:row>5</xdr:row>
      <xdr:rowOff>9525</xdr:rowOff>
    </xdr:from>
    <xdr:to>
      <xdr:col>22</xdr:col>
      <xdr:colOff>85725</xdr:colOff>
      <xdr:row>14</xdr:row>
      <xdr:rowOff>95250</xdr:rowOff>
    </xdr:to>
    <xdr:graphicFrame macro="">
      <xdr:nvGraphicFramePr>
        <xdr:cNvPr id="13623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266700</xdr:colOff>
      <xdr:row>5</xdr:row>
      <xdr:rowOff>9525</xdr:rowOff>
    </xdr:from>
    <xdr:to>
      <xdr:col>27</xdr:col>
      <xdr:colOff>590550</xdr:colOff>
      <xdr:row>14</xdr:row>
      <xdr:rowOff>76200</xdr:rowOff>
    </xdr:to>
    <xdr:graphicFrame macro="">
      <xdr:nvGraphicFramePr>
        <xdr:cNvPr id="13623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371475</xdr:colOff>
      <xdr:row>14</xdr:row>
      <xdr:rowOff>95250</xdr:rowOff>
    </xdr:from>
    <xdr:to>
      <xdr:col>22</xdr:col>
      <xdr:colOff>85725</xdr:colOff>
      <xdr:row>24</xdr:row>
      <xdr:rowOff>9525</xdr:rowOff>
    </xdr:to>
    <xdr:graphicFrame macro="">
      <xdr:nvGraphicFramePr>
        <xdr:cNvPr id="13623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266700</xdr:colOff>
      <xdr:row>14</xdr:row>
      <xdr:rowOff>76200</xdr:rowOff>
    </xdr:from>
    <xdr:to>
      <xdr:col>27</xdr:col>
      <xdr:colOff>590550</xdr:colOff>
      <xdr:row>24</xdr:row>
      <xdr:rowOff>9525</xdr:rowOff>
    </xdr:to>
    <xdr:graphicFrame macro="">
      <xdr:nvGraphicFramePr>
        <xdr:cNvPr id="13624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371475</xdr:colOff>
      <xdr:row>24</xdr:row>
      <xdr:rowOff>9525</xdr:rowOff>
    </xdr:from>
    <xdr:to>
      <xdr:col>22</xdr:col>
      <xdr:colOff>85725</xdr:colOff>
      <xdr:row>32</xdr:row>
      <xdr:rowOff>114300</xdr:rowOff>
    </xdr:to>
    <xdr:graphicFrame macro="">
      <xdr:nvGraphicFramePr>
        <xdr:cNvPr id="136241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371475</xdr:colOff>
      <xdr:row>52</xdr:row>
      <xdr:rowOff>142875</xdr:rowOff>
    </xdr:from>
    <xdr:to>
      <xdr:col>22</xdr:col>
      <xdr:colOff>57150</xdr:colOff>
      <xdr:row>65</xdr:row>
      <xdr:rowOff>66675</xdr:rowOff>
    </xdr:to>
    <xdr:graphicFrame macro="">
      <xdr:nvGraphicFramePr>
        <xdr:cNvPr id="13624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266700</xdr:colOff>
      <xdr:row>24</xdr:row>
      <xdr:rowOff>9525</xdr:rowOff>
    </xdr:from>
    <xdr:to>
      <xdr:col>27</xdr:col>
      <xdr:colOff>590550</xdr:colOff>
      <xdr:row>32</xdr:row>
      <xdr:rowOff>85725</xdr:rowOff>
    </xdr:to>
    <xdr:graphicFrame macro="">
      <xdr:nvGraphicFramePr>
        <xdr:cNvPr id="13624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371475</xdr:colOff>
      <xdr:row>32</xdr:row>
      <xdr:rowOff>114300</xdr:rowOff>
    </xdr:from>
    <xdr:to>
      <xdr:col>22</xdr:col>
      <xdr:colOff>76200</xdr:colOff>
      <xdr:row>42</xdr:row>
      <xdr:rowOff>47625</xdr:rowOff>
    </xdr:to>
    <xdr:graphicFrame macro="">
      <xdr:nvGraphicFramePr>
        <xdr:cNvPr id="136244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266700</xdr:colOff>
      <xdr:row>32</xdr:row>
      <xdr:rowOff>76200</xdr:rowOff>
    </xdr:from>
    <xdr:to>
      <xdr:col>27</xdr:col>
      <xdr:colOff>590550</xdr:colOff>
      <xdr:row>42</xdr:row>
      <xdr:rowOff>0</xdr:rowOff>
    </xdr:to>
    <xdr:graphicFrame macro="">
      <xdr:nvGraphicFramePr>
        <xdr:cNvPr id="136245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371475</xdr:colOff>
      <xdr:row>42</xdr:row>
      <xdr:rowOff>47625</xdr:rowOff>
    </xdr:from>
    <xdr:to>
      <xdr:col>22</xdr:col>
      <xdr:colOff>85725</xdr:colOff>
      <xdr:row>51</xdr:row>
      <xdr:rowOff>114300</xdr:rowOff>
    </xdr:to>
    <xdr:graphicFrame macro="">
      <xdr:nvGraphicFramePr>
        <xdr:cNvPr id="136246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266700</xdr:colOff>
      <xdr:row>42</xdr:row>
      <xdr:rowOff>0</xdr:rowOff>
    </xdr:from>
    <xdr:to>
      <xdr:col>27</xdr:col>
      <xdr:colOff>590550</xdr:colOff>
      <xdr:row>51</xdr:row>
      <xdr:rowOff>85725</xdr:rowOff>
    </xdr:to>
    <xdr:graphicFrame macro="">
      <xdr:nvGraphicFramePr>
        <xdr:cNvPr id="136247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tabSelected="1" zoomScaleNormal="100" workbookViewId="0">
      <pane ySplit="4" topLeftCell="A5" activePane="bottomLeft" state="frozen"/>
      <selection pane="bottomLeft" activeCell="C5" sqref="C5"/>
    </sheetView>
  </sheetViews>
  <sheetFormatPr defaultColWidth="10.7109375" defaultRowHeight="12" x14ac:dyDescent="0.2"/>
  <cols>
    <col min="1" max="1" width="3" style="1" bestFit="1" customWidth="1"/>
    <col min="2" max="2" width="2.7109375" style="1" bestFit="1" customWidth="1"/>
    <col min="3" max="3" width="7.28515625" style="1" bestFit="1" customWidth="1"/>
    <col min="4" max="4" width="7.140625" style="1" bestFit="1" customWidth="1"/>
    <col min="5" max="6" width="7.7109375" style="1" bestFit="1" customWidth="1"/>
    <col min="7" max="7" width="7.28515625" style="1" bestFit="1" customWidth="1"/>
    <col min="8" max="8" width="7" style="1" bestFit="1" customWidth="1"/>
    <col min="9" max="9" width="7.28515625" style="1" bestFit="1" customWidth="1"/>
    <col min="10" max="10" width="6.7109375" style="1" bestFit="1" customWidth="1"/>
    <col min="11" max="11" width="7.28515625" style="1" bestFit="1" customWidth="1"/>
    <col min="12" max="12" width="6.85546875" style="1" bestFit="1" customWidth="1"/>
    <col min="13" max="13" width="5.7109375" style="1" customWidth="1"/>
    <col min="14" max="14" width="7.42578125" style="1" bestFit="1" customWidth="1"/>
    <col min="15" max="15" width="6.42578125" style="1" bestFit="1" customWidth="1"/>
    <col min="16" max="16" width="8.140625" style="1" bestFit="1" customWidth="1"/>
    <col min="17" max="17" width="10.7109375" style="1" customWidth="1"/>
    <col min="18" max="18" width="3.85546875" style="1" customWidth="1"/>
    <col min="19" max="16384" width="10.7109375" style="1"/>
  </cols>
  <sheetData>
    <row r="1" spans="1:18" s="4" customFormat="1" x14ac:dyDescent="0.2">
      <c r="B1" s="5"/>
      <c r="C1" s="5" t="s">
        <v>4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6</v>
      </c>
      <c r="I1" s="5" t="s">
        <v>5</v>
      </c>
      <c r="J1" s="5" t="s">
        <v>6</v>
      </c>
      <c r="K1" s="5" t="s">
        <v>11</v>
      </c>
      <c r="L1" s="5" t="s">
        <v>11</v>
      </c>
      <c r="O1" s="5" t="s">
        <v>21</v>
      </c>
      <c r="P1" s="5" t="s">
        <v>19</v>
      </c>
    </row>
    <row r="2" spans="1:18" s="4" customFormat="1" x14ac:dyDescent="0.2">
      <c r="C2" s="5" t="s">
        <v>5</v>
      </c>
      <c r="D2" s="5" t="s">
        <v>6</v>
      </c>
      <c r="E2" s="5" t="s">
        <v>7</v>
      </c>
      <c r="F2" s="5" t="s">
        <v>7</v>
      </c>
      <c r="G2" s="6" t="s">
        <v>9</v>
      </c>
      <c r="H2" s="6" t="s">
        <v>9</v>
      </c>
      <c r="I2" s="5" t="s">
        <v>10</v>
      </c>
      <c r="J2" s="5" t="s">
        <v>10</v>
      </c>
      <c r="K2" s="5" t="s">
        <v>5</v>
      </c>
      <c r="L2" s="5" t="s">
        <v>6</v>
      </c>
      <c r="N2" s="5" t="s">
        <v>17</v>
      </c>
      <c r="O2" s="5" t="s">
        <v>17</v>
      </c>
      <c r="P2" s="5" t="s">
        <v>22</v>
      </c>
    </row>
    <row r="3" spans="1:18" s="4" customFormat="1" x14ac:dyDescent="0.2"/>
    <row r="4" spans="1:18" s="4" customFormat="1" x14ac:dyDescent="0.2">
      <c r="A4" s="7" t="s">
        <v>1</v>
      </c>
      <c r="B4" s="8" t="s">
        <v>25</v>
      </c>
      <c r="C4" s="7" t="s">
        <v>2</v>
      </c>
      <c r="D4" s="7" t="s">
        <v>3</v>
      </c>
      <c r="E4" s="7" t="s">
        <v>14</v>
      </c>
      <c r="F4" s="7" t="s">
        <v>8</v>
      </c>
      <c r="G4" s="9" t="s">
        <v>12</v>
      </c>
      <c r="H4" s="9" t="s">
        <v>13</v>
      </c>
      <c r="I4" s="9" t="s">
        <v>24</v>
      </c>
      <c r="J4" s="9" t="s">
        <v>23</v>
      </c>
      <c r="K4" s="9" t="s">
        <v>15</v>
      </c>
      <c r="L4" s="9" t="s">
        <v>16</v>
      </c>
      <c r="N4" s="9" t="s">
        <v>18</v>
      </c>
      <c r="O4" s="8" t="s">
        <v>26</v>
      </c>
      <c r="P4" s="10" t="s">
        <v>20</v>
      </c>
    </row>
    <row r="5" spans="1:18" x14ac:dyDescent="0.2">
      <c r="A5" s="1">
        <v>0</v>
      </c>
      <c r="B5" s="1">
        <v>1</v>
      </c>
      <c r="C5" s="1">
        <v>0</v>
      </c>
      <c r="D5" s="1">
        <v>1</v>
      </c>
      <c r="E5" s="1">
        <v>0</v>
      </c>
      <c r="F5" s="1">
        <v>0</v>
      </c>
      <c r="G5" s="2">
        <v>0</v>
      </c>
      <c r="H5" s="2">
        <v>0</v>
      </c>
      <c r="I5" s="2">
        <v>0</v>
      </c>
      <c r="J5" s="1">
        <v>0</v>
      </c>
      <c r="K5" s="1">
        <v>0</v>
      </c>
      <c r="L5" s="1">
        <v>0</v>
      </c>
      <c r="N5" s="3">
        <v>1</v>
      </c>
      <c r="O5" s="3">
        <f t="shared" ref="O5:O36" si="0">P5*N5*(K5+L5-K5*L5)</f>
        <v>0</v>
      </c>
      <c r="P5" s="1">
        <v>0.2</v>
      </c>
    </row>
    <row r="6" spans="1:18" x14ac:dyDescent="0.2">
      <c r="A6" s="1">
        <f t="shared" ref="A6:A37" si="1">A5+B5</f>
        <v>1</v>
      </c>
      <c r="B6" s="1">
        <v>1</v>
      </c>
      <c r="C6" s="1">
        <v>0</v>
      </c>
      <c r="D6" s="1">
        <v>1</v>
      </c>
      <c r="E6" s="1">
        <f t="shared" ref="E6:E37" si="2">C5</f>
        <v>0</v>
      </c>
      <c r="F6" s="1">
        <f t="shared" ref="F6:F37" si="3">D5</f>
        <v>1</v>
      </c>
      <c r="G6" s="2">
        <f t="shared" ref="G6:G37" si="4">E5</f>
        <v>0</v>
      </c>
      <c r="H6" s="2">
        <f t="shared" ref="H6:H37" si="5">F5*(1-E5)</f>
        <v>0</v>
      </c>
      <c r="I6" s="2">
        <f t="shared" ref="I6:I37" si="6">G5</f>
        <v>0</v>
      </c>
      <c r="J6" s="2">
        <f t="shared" ref="J6:J37" si="7">H5</f>
        <v>0</v>
      </c>
      <c r="K6" s="1">
        <f t="shared" ref="K6:K37" si="8">I5*C5</f>
        <v>0</v>
      </c>
      <c r="L6" s="1">
        <f t="shared" ref="L6:L37" si="9">J5*D5</f>
        <v>0</v>
      </c>
      <c r="N6" s="3">
        <f t="shared" ref="N6:N37" si="10">N5+O5</f>
        <v>1</v>
      </c>
      <c r="O6" s="3">
        <f t="shared" si="0"/>
        <v>0</v>
      </c>
      <c r="P6" s="1">
        <f t="shared" ref="P6:P37" si="11">P5</f>
        <v>0.2</v>
      </c>
    </row>
    <row r="7" spans="1:18" x14ac:dyDescent="0.2">
      <c r="A7" s="1">
        <f t="shared" si="1"/>
        <v>2</v>
      </c>
      <c r="B7" s="1">
        <v>1</v>
      </c>
      <c r="C7" s="1">
        <v>0</v>
      </c>
      <c r="D7" s="1">
        <v>1</v>
      </c>
      <c r="E7" s="1">
        <f t="shared" si="2"/>
        <v>0</v>
      </c>
      <c r="F7" s="1">
        <f t="shared" si="3"/>
        <v>1</v>
      </c>
      <c r="G7" s="2">
        <f t="shared" si="4"/>
        <v>0</v>
      </c>
      <c r="H7" s="2">
        <f t="shared" si="5"/>
        <v>1</v>
      </c>
      <c r="I7" s="2">
        <f t="shared" si="6"/>
        <v>0</v>
      </c>
      <c r="J7" s="2">
        <f t="shared" si="7"/>
        <v>0</v>
      </c>
      <c r="K7" s="1">
        <f t="shared" si="8"/>
        <v>0</v>
      </c>
      <c r="L7" s="1">
        <f t="shared" si="9"/>
        <v>0</v>
      </c>
      <c r="N7" s="3">
        <f t="shared" si="10"/>
        <v>1</v>
      </c>
      <c r="O7" s="3">
        <f t="shared" si="0"/>
        <v>0</v>
      </c>
      <c r="P7" s="1">
        <f t="shared" si="11"/>
        <v>0.2</v>
      </c>
    </row>
    <row r="8" spans="1:18" x14ac:dyDescent="0.2">
      <c r="A8" s="1">
        <f t="shared" si="1"/>
        <v>3</v>
      </c>
      <c r="B8" s="1">
        <v>1</v>
      </c>
      <c r="C8" s="1">
        <v>0</v>
      </c>
      <c r="D8" s="1">
        <v>1</v>
      </c>
      <c r="E8" s="1">
        <f t="shared" si="2"/>
        <v>0</v>
      </c>
      <c r="F8" s="1">
        <f t="shared" si="3"/>
        <v>1</v>
      </c>
      <c r="G8" s="2">
        <f t="shared" si="4"/>
        <v>0</v>
      </c>
      <c r="H8" s="2">
        <f t="shared" si="5"/>
        <v>1</v>
      </c>
      <c r="I8" s="2">
        <f t="shared" si="6"/>
        <v>0</v>
      </c>
      <c r="J8" s="2">
        <f t="shared" si="7"/>
        <v>1</v>
      </c>
      <c r="K8" s="1">
        <f t="shared" si="8"/>
        <v>0</v>
      </c>
      <c r="L8" s="1">
        <f t="shared" si="9"/>
        <v>0</v>
      </c>
      <c r="N8" s="3">
        <f t="shared" si="10"/>
        <v>1</v>
      </c>
      <c r="O8" s="3">
        <f t="shared" si="0"/>
        <v>0</v>
      </c>
      <c r="P8" s="1">
        <f t="shared" si="11"/>
        <v>0.2</v>
      </c>
    </row>
    <row r="9" spans="1:18" x14ac:dyDescent="0.2">
      <c r="A9" s="1">
        <f t="shared" si="1"/>
        <v>4</v>
      </c>
      <c r="B9" s="1">
        <v>1</v>
      </c>
      <c r="C9" s="1">
        <v>0</v>
      </c>
      <c r="D9" s="1">
        <v>1</v>
      </c>
      <c r="E9" s="1">
        <f t="shared" si="2"/>
        <v>0</v>
      </c>
      <c r="F9" s="1">
        <f t="shared" si="3"/>
        <v>1</v>
      </c>
      <c r="G9" s="2">
        <f t="shared" si="4"/>
        <v>0</v>
      </c>
      <c r="H9" s="2">
        <f t="shared" si="5"/>
        <v>1</v>
      </c>
      <c r="I9" s="2">
        <f t="shared" si="6"/>
        <v>0</v>
      </c>
      <c r="J9" s="2">
        <f t="shared" si="7"/>
        <v>1</v>
      </c>
      <c r="K9" s="1">
        <f t="shared" si="8"/>
        <v>0</v>
      </c>
      <c r="L9" s="1">
        <f t="shared" si="9"/>
        <v>1</v>
      </c>
      <c r="N9" s="3">
        <f t="shared" si="10"/>
        <v>1</v>
      </c>
      <c r="O9" s="3">
        <f t="shared" si="0"/>
        <v>0.2</v>
      </c>
      <c r="P9" s="1">
        <f t="shared" si="11"/>
        <v>0.2</v>
      </c>
    </row>
    <row r="10" spans="1:18" x14ac:dyDescent="0.2">
      <c r="A10" s="1">
        <f t="shared" si="1"/>
        <v>5</v>
      </c>
      <c r="B10" s="1">
        <v>1</v>
      </c>
      <c r="C10" s="1">
        <v>0</v>
      </c>
      <c r="D10" s="1">
        <v>1</v>
      </c>
      <c r="E10" s="1">
        <f t="shared" si="2"/>
        <v>0</v>
      </c>
      <c r="F10" s="1">
        <f t="shared" si="3"/>
        <v>1</v>
      </c>
      <c r="G10" s="2">
        <f t="shared" si="4"/>
        <v>0</v>
      </c>
      <c r="H10" s="2">
        <f t="shared" si="5"/>
        <v>1</v>
      </c>
      <c r="I10" s="2">
        <f t="shared" si="6"/>
        <v>0</v>
      </c>
      <c r="J10" s="2">
        <f t="shared" si="7"/>
        <v>1</v>
      </c>
      <c r="K10" s="1">
        <f t="shared" si="8"/>
        <v>0</v>
      </c>
      <c r="L10" s="1">
        <f t="shared" si="9"/>
        <v>1</v>
      </c>
      <c r="N10" s="3">
        <f t="shared" si="10"/>
        <v>1.2</v>
      </c>
      <c r="O10" s="3">
        <f t="shared" si="0"/>
        <v>0.24</v>
      </c>
      <c r="P10" s="1">
        <f t="shared" si="11"/>
        <v>0.2</v>
      </c>
    </row>
    <row r="11" spans="1:18" x14ac:dyDescent="0.2">
      <c r="A11" s="1">
        <f t="shared" si="1"/>
        <v>6</v>
      </c>
      <c r="B11" s="1">
        <v>1</v>
      </c>
      <c r="C11" s="1">
        <v>0</v>
      </c>
      <c r="D11" s="1">
        <v>1</v>
      </c>
      <c r="E11" s="1">
        <f t="shared" si="2"/>
        <v>0</v>
      </c>
      <c r="F11" s="1">
        <f t="shared" si="3"/>
        <v>1</v>
      </c>
      <c r="G11" s="2">
        <f t="shared" si="4"/>
        <v>0</v>
      </c>
      <c r="H11" s="2">
        <f t="shared" si="5"/>
        <v>1</v>
      </c>
      <c r="I11" s="2">
        <f t="shared" si="6"/>
        <v>0</v>
      </c>
      <c r="J11" s="2">
        <f t="shared" si="7"/>
        <v>1</v>
      </c>
      <c r="K11" s="1">
        <f t="shared" si="8"/>
        <v>0</v>
      </c>
      <c r="L11" s="1">
        <f t="shared" si="9"/>
        <v>1</v>
      </c>
      <c r="N11" s="3">
        <f t="shared" si="10"/>
        <v>1.44</v>
      </c>
      <c r="O11" s="3">
        <f t="shared" si="0"/>
        <v>0.28799999999999998</v>
      </c>
      <c r="P11" s="1">
        <f t="shared" si="11"/>
        <v>0.2</v>
      </c>
    </row>
    <row r="12" spans="1:18" x14ac:dyDescent="0.2">
      <c r="A12" s="1">
        <f t="shared" si="1"/>
        <v>7</v>
      </c>
      <c r="B12" s="1">
        <v>1</v>
      </c>
      <c r="C12" s="1">
        <v>0</v>
      </c>
      <c r="D12" s="1">
        <v>1</v>
      </c>
      <c r="E12" s="1">
        <f t="shared" si="2"/>
        <v>0</v>
      </c>
      <c r="F12" s="1">
        <f t="shared" si="3"/>
        <v>1</v>
      </c>
      <c r="G12" s="2">
        <f t="shared" si="4"/>
        <v>0</v>
      </c>
      <c r="H12" s="2">
        <f t="shared" si="5"/>
        <v>1</v>
      </c>
      <c r="I12" s="2">
        <f t="shared" si="6"/>
        <v>0</v>
      </c>
      <c r="J12" s="2">
        <f t="shared" si="7"/>
        <v>1</v>
      </c>
      <c r="K12" s="1">
        <f t="shared" si="8"/>
        <v>0</v>
      </c>
      <c r="L12" s="1">
        <f t="shared" si="9"/>
        <v>1</v>
      </c>
      <c r="N12" s="3">
        <f t="shared" si="10"/>
        <v>1.728</v>
      </c>
      <c r="O12" s="3">
        <f t="shared" si="0"/>
        <v>0.34560000000000002</v>
      </c>
      <c r="P12" s="1">
        <f t="shared" si="11"/>
        <v>0.2</v>
      </c>
    </row>
    <row r="13" spans="1:18" x14ac:dyDescent="0.2">
      <c r="A13" s="1">
        <f t="shared" si="1"/>
        <v>8</v>
      </c>
      <c r="B13" s="1">
        <v>1</v>
      </c>
      <c r="C13" s="1">
        <v>0</v>
      </c>
      <c r="D13" s="1">
        <v>1</v>
      </c>
      <c r="E13" s="1">
        <f t="shared" si="2"/>
        <v>0</v>
      </c>
      <c r="F13" s="1">
        <f t="shared" si="3"/>
        <v>1</v>
      </c>
      <c r="G13" s="2">
        <f t="shared" si="4"/>
        <v>0</v>
      </c>
      <c r="H13" s="2">
        <f t="shared" si="5"/>
        <v>1</v>
      </c>
      <c r="I13" s="2">
        <f t="shared" si="6"/>
        <v>0</v>
      </c>
      <c r="J13" s="2">
        <f t="shared" si="7"/>
        <v>1</v>
      </c>
      <c r="K13" s="1">
        <f t="shared" si="8"/>
        <v>0</v>
      </c>
      <c r="L13" s="1">
        <f t="shared" si="9"/>
        <v>1</v>
      </c>
      <c r="N13" s="3">
        <f t="shared" si="10"/>
        <v>2.0735999999999999</v>
      </c>
      <c r="O13" s="3">
        <f t="shared" si="0"/>
        <v>0.41471999999999998</v>
      </c>
      <c r="P13" s="1">
        <f t="shared" si="11"/>
        <v>0.2</v>
      </c>
    </row>
    <row r="14" spans="1:18" x14ac:dyDescent="0.2">
      <c r="A14" s="1">
        <f t="shared" si="1"/>
        <v>9</v>
      </c>
      <c r="B14" s="1">
        <v>1</v>
      </c>
      <c r="C14" s="1">
        <v>0</v>
      </c>
      <c r="D14" s="1">
        <v>1</v>
      </c>
      <c r="E14" s="1">
        <f t="shared" si="2"/>
        <v>0</v>
      </c>
      <c r="F14" s="1">
        <f t="shared" si="3"/>
        <v>1</v>
      </c>
      <c r="G14" s="2">
        <f t="shared" si="4"/>
        <v>0</v>
      </c>
      <c r="H14" s="2">
        <f t="shared" si="5"/>
        <v>1</v>
      </c>
      <c r="I14" s="2">
        <f t="shared" si="6"/>
        <v>0</v>
      </c>
      <c r="J14" s="2">
        <f t="shared" si="7"/>
        <v>1</v>
      </c>
      <c r="K14" s="1">
        <f t="shared" si="8"/>
        <v>0</v>
      </c>
      <c r="L14" s="1">
        <f t="shared" si="9"/>
        <v>1</v>
      </c>
      <c r="N14" s="3">
        <f t="shared" si="10"/>
        <v>2.4883199999999999</v>
      </c>
      <c r="O14" s="3">
        <f t="shared" si="0"/>
        <v>0.497664</v>
      </c>
      <c r="P14" s="1">
        <f t="shared" si="11"/>
        <v>0.2</v>
      </c>
    </row>
    <row r="15" spans="1:18" x14ac:dyDescent="0.2">
      <c r="A15" s="1">
        <f t="shared" si="1"/>
        <v>10</v>
      </c>
      <c r="B15" s="1">
        <v>1</v>
      </c>
      <c r="C15" s="1">
        <v>1</v>
      </c>
      <c r="D15" s="1">
        <v>1</v>
      </c>
      <c r="E15" s="1">
        <f t="shared" si="2"/>
        <v>0</v>
      </c>
      <c r="F15" s="1">
        <f t="shared" si="3"/>
        <v>1</v>
      </c>
      <c r="G15" s="2">
        <f t="shared" si="4"/>
        <v>0</v>
      </c>
      <c r="H15" s="2">
        <f t="shared" si="5"/>
        <v>1</v>
      </c>
      <c r="I15" s="2">
        <f t="shared" si="6"/>
        <v>0</v>
      </c>
      <c r="J15" s="2">
        <f t="shared" si="7"/>
        <v>1</v>
      </c>
      <c r="K15" s="1">
        <f t="shared" si="8"/>
        <v>0</v>
      </c>
      <c r="L15" s="1">
        <f t="shared" si="9"/>
        <v>1</v>
      </c>
      <c r="N15" s="3">
        <f t="shared" si="10"/>
        <v>2.9859839999999997</v>
      </c>
      <c r="O15" s="3">
        <f t="shared" si="0"/>
        <v>0.59719679999999997</v>
      </c>
      <c r="P15" s="1">
        <f t="shared" si="11"/>
        <v>0.2</v>
      </c>
      <c r="R15" s="1" t="s">
        <v>0</v>
      </c>
    </row>
    <row r="16" spans="1:18" x14ac:dyDescent="0.2">
      <c r="A16" s="1">
        <f t="shared" si="1"/>
        <v>11</v>
      </c>
      <c r="B16" s="1">
        <v>1</v>
      </c>
      <c r="C16" s="1">
        <v>1</v>
      </c>
      <c r="D16" s="1">
        <v>1</v>
      </c>
      <c r="E16" s="1">
        <f t="shared" si="2"/>
        <v>1</v>
      </c>
      <c r="F16" s="1">
        <f t="shared" si="3"/>
        <v>1</v>
      </c>
      <c r="G16" s="2">
        <f t="shared" si="4"/>
        <v>0</v>
      </c>
      <c r="H16" s="2">
        <f t="shared" si="5"/>
        <v>1</v>
      </c>
      <c r="I16" s="2">
        <f t="shared" si="6"/>
        <v>0</v>
      </c>
      <c r="J16" s="2">
        <f t="shared" si="7"/>
        <v>1</v>
      </c>
      <c r="K16" s="1">
        <f t="shared" si="8"/>
        <v>0</v>
      </c>
      <c r="L16" s="1">
        <f t="shared" si="9"/>
        <v>1</v>
      </c>
      <c r="N16" s="3">
        <f t="shared" si="10"/>
        <v>3.5831807999999996</v>
      </c>
      <c r="O16" s="3">
        <f t="shared" si="0"/>
        <v>0.71663615999999997</v>
      </c>
      <c r="P16" s="1">
        <f t="shared" si="11"/>
        <v>0.2</v>
      </c>
    </row>
    <row r="17" spans="1:16" x14ac:dyDescent="0.2">
      <c r="A17" s="1">
        <f t="shared" si="1"/>
        <v>12</v>
      </c>
      <c r="B17" s="1">
        <v>1</v>
      </c>
      <c r="C17" s="1">
        <v>1</v>
      </c>
      <c r="D17" s="1">
        <v>1</v>
      </c>
      <c r="E17" s="1">
        <f t="shared" si="2"/>
        <v>1</v>
      </c>
      <c r="F17" s="1">
        <f t="shared" si="3"/>
        <v>1</v>
      </c>
      <c r="G17" s="2">
        <f t="shared" si="4"/>
        <v>1</v>
      </c>
      <c r="H17" s="2">
        <f t="shared" si="5"/>
        <v>0</v>
      </c>
      <c r="I17" s="2">
        <f t="shared" si="6"/>
        <v>0</v>
      </c>
      <c r="J17" s="2">
        <f t="shared" si="7"/>
        <v>1</v>
      </c>
      <c r="K17" s="1">
        <f t="shared" si="8"/>
        <v>0</v>
      </c>
      <c r="L17" s="1">
        <f t="shared" si="9"/>
        <v>1</v>
      </c>
      <c r="N17" s="3">
        <f t="shared" si="10"/>
        <v>4.2998169599999994</v>
      </c>
      <c r="O17" s="3">
        <f t="shared" si="0"/>
        <v>0.85996339199999994</v>
      </c>
      <c r="P17" s="1">
        <f t="shared" si="11"/>
        <v>0.2</v>
      </c>
    </row>
    <row r="18" spans="1:16" x14ac:dyDescent="0.2">
      <c r="A18" s="1">
        <f t="shared" si="1"/>
        <v>13</v>
      </c>
      <c r="B18" s="1">
        <v>1</v>
      </c>
      <c r="C18" s="1">
        <v>1</v>
      </c>
      <c r="D18" s="1">
        <v>1</v>
      </c>
      <c r="E18" s="1">
        <f t="shared" si="2"/>
        <v>1</v>
      </c>
      <c r="F18" s="1">
        <f t="shared" si="3"/>
        <v>1</v>
      </c>
      <c r="G18" s="2">
        <f t="shared" si="4"/>
        <v>1</v>
      </c>
      <c r="H18" s="2">
        <f t="shared" si="5"/>
        <v>0</v>
      </c>
      <c r="I18" s="2">
        <f t="shared" si="6"/>
        <v>1</v>
      </c>
      <c r="J18" s="2">
        <f t="shared" si="7"/>
        <v>0</v>
      </c>
      <c r="K18" s="1">
        <f t="shared" si="8"/>
        <v>0</v>
      </c>
      <c r="L18" s="1">
        <f t="shared" si="9"/>
        <v>1</v>
      </c>
      <c r="M18" s="1" t="s">
        <v>0</v>
      </c>
      <c r="N18" s="3">
        <f t="shared" si="10"/>
        <v>5.1597803519999994</v>
      </c>
      <c r="O18" s="3">
        <f t="shared" si="0"/>
        <v>1.0319560703999999</v>
      </c>
      <c r="P18" s="1">
        <f t="shared" si="11"/>
        <v>0.2</v>
      </c>
    </row>
    <row r="19" spans="1:16" x14ac:dyDescent="0.2">
      <c r="A19" s="1">
        <f t="shared" si="1"/>
        <v>14</v>
      </c>
      <c r="B19" s="1">
        <v>1</v>
      </c>
      <c r="C19" s="1">
        <v>1</v>
      </c>
      <c r="D19" s="1">
        <v>1</v>
      </c>
      <c r="E19" s="1">
        <f t="shared" si="2"/>
        <v>1</v>
      </c>
      <c r="F19" s="1">
        <f t="shared" si="3"/>
        <v>1</v>
      </c>
      <c r="G19" s="2">
        <f t="shared" si="4"/>
        <v>1</v>
      </c>
      <c r="H19" s="2">
        <f t="shared" si="5"/>
        <v>0</v>
      </c>
      <c r="I19" s="2">
        <f t="shared" si="6"/>
        <v>1</v>
      </c>
      <c r="J19" s="2">
        <f t="shared" si="7"/>
        <v>0</v>
      </c>
      <c r="K19" s="1">
        <f t="shared" si="8"/>
        <v>1</v>
      </c>
      <c r="L19" s="1">
        <f t="shared" si="9"/>
        <v>0</v>
      </c>
      <c r="N19" s="3">
        <f t="shared" si="10"/>
        <v>6.1917364223999991</v>
      </c>
      <c r="O19" s="3">
        <f t="shared" si="0"/>
        <v>1.2383472844799999</v>
      </c>
      <c r="P19" s="1">
        <f t="shared" si="11"/>
        <v>0.2</v>
      </c>
    </row>
    <row r="20" spans="1:16" x14ac:dyDescent="0.2">
      <c r="A20" s="1">
        <f t="shared" si="1"/>
        <v>15</v>
      </c>
      <c r="B20" s="1">
        <v>1</v>
      </c>
      <c r="C20" s="1">
        <v>1</v>
      </c>
      <c r="D20" s="1">
        <v>1</v>
      </c>
      <c r="E20" s="1">
        <f t="shared" si="2"/>
        <v>1</v>
      </c>
      <c r="F20" s="1">
        <f t="shared" si="3"/>
        <v>1</v>
      </c>
      <c r="G20" s="2">
        <f t="shared" si="4"/>
        <v>1</v>
      </c>
      <c r="H20" s="2">
        <f t="shared" si="5"/>
        <v>0</v>
      </c>
      <c r="I20" s="2">
        <f t="shared" si="6"/>
        <v>1</v>
      </c>
      <c r="J20" s="2">
        <f t="shared" si="7"/>
        <v>0</v>
      </c>
      <c r="K20" s="1">
        <f t="shared" si="8"/>
        <v>1</v>
      </c>
      <c r="L20" s="1">
        <f t="shared" si="9"/>
        <v>0</v>
      </c>
      <c r="N20" s="3">
        <f t="shared" si="10"/>
        <v>7.4300837068799988</v>
      </c>
      <c r="O20" s="3">
        <f t="shared" si="0"/>
        <v>1.4860167413759999</v>
      </c>
      <c r="P20" s="1">
        <f t="shared" si="11"/>
        <v>0.2</v>
      </c>
    </row>
    <row r="21" spans="1:16" x14ac:dyDescent="0.2">
      <c r="A21" s="1">
        <f t="shared" si="1"/>
        <v>16</v>
      </c>
      <c r="B21" s="1">
        <v>1</v>
      </c>
      <c r="C21" s="1">
        <v>1</v>
      </c>
      <c r="D21" s="1">
        <v>1</v>
      </c>
      <c r="E21" s="1">
        <f t="shared" si="2"/>
        <v>1</v>
      </c>
      <c r="F21" s="1">
        <f t="shared" si="3"/>
        <v>1</v>
      </c>
      <c r="G21" s="2">
        <f t="shared" si="4"/>
        <v>1</v>
      </c>
      <c r="H21" s="2">
        <f t="shared" si="5"/>
        <v>0</v>
      </c>
      <c r="I21" s="2">
        <f t="shared" si="6"/>
        <v>1</v>
      </c>
      <c r="J21" s="2">
        <f t="shared" si="7"/>
        <v>0</v>
      </c>
      <c r="K21" s="1">
        <f t="shared" si="8"/>
        <v>1</v>
      </c>
      <c r="L21" s="1">
        <f t="shared" si="9"/>
        <v>0</v>
      </c>
      <c r="N21" s="3">
        <f t="shared" si="10"/>
        <v>8.9161004482559996</v>
      </c>
      <c r="O21" s="3">
        <f t="shared" si="0"/>
        <v>1.7832200896512</v>
      </c>
      <c r="P21" s="1">
        <f t="shared" si="11"/>
        <v>0.2</v>
      </c>
    </row>
    <row r="22" spans="1:16" x14ac:dyDescent="0.2">
      <c r="A22" s="1">
        <f t="shared" si="1"/>
        <v>17</v>
      </c>
      <c r="B22" s="1">
        <v>1</v>
      </c>
      <c r="C22" s="1">
        <v>1</v>
      </c>
      <c r="D22" s="1">
        <v>1</v>
      </c>
      <c r="E22" s="1">
        <f t="shared" si="2"/>
        <v>1</v>
      </c>
      <c r="F22" s="1">
        <f t="shared" si="3"/>
        <v>1</v>
      </c>
      <c r="G22" s="2">
        <f t="shared" si="4"/>
        <v>1</v>
      </c>
      <c r="H22" s="2">
        <f t="shared" si="5"/>
        <v>0</v>
      </c>
      <c r="I22" s="2">
        <f t="shared" si="6"/>
        <v>1</v>
      </c>
      <c r="J22" s="2">
        <f t="shared" si="7"/>
        <v>0</v>
      </c>
      <c r="K22" s="1">
        <f t="shared" si="8"/>
        <v>1</v>
      </c>
      <c r="L22" s="1">
        <f t="shared" si="9"/>
        <v>0</v>
      </c>
      <c r="N22" s="3">
        <f t="shared" si="10"/>
        <v>10.6993205379072</v>
      </c>
      <c r="O22" s="3">
        <f t="shared" si="0"/>
        <v>2.13986410758144</v>
      </c>
      <c r="P22" s="1">
        <f t="shared" si="11"/>
        <v>0.2</v>
      </c>
    </row>
    <row r="23" spans="1:16" x14ac:dyDescent="0.2">
      <c r="A23" s="1">
        <f t="shared" si="1"/>
        <v>18</v>
      </c>
      <c r="B23" s="1">
        <v>1</v>
      </c>
      <c r="C23" s="1">
        <v>1</v>
      </c>
      <c r="D23" s="1">
        <v>1</v>
      </c>
      <c r="E23" s="1">
        <f t="shared" si="2"/>
        <v>1</v>
      </c>
      <c r="F23" s="1">
        <f t="shared" si="3"/>
        <v>1</v>
      </c>
      <c r="G23" s="2">
        <f t="shared" si="4"/>
        <v>1</v>
      </c>
      <c r="H23" s="2">
        <f t="shared" si="5"/>
        <v>0</v>
      </c>
      <c r="I23" s="2">
        <f t="shared" si="6"/>
        <v>1</v>
      </c>
      <c r="J23" s="2">
        <f t="shared" si="7"/>
        <v>0</v>
      </c>
      <c r="K23" s="1">
        <f t="shared" si="8"/>
        <v>1</v>
      </c>
      <c r="L23" s="1">
        <f t="shared" si="9"/>
        <v>0</v>
      </c>
      <c r="N23" s="3">
        <f t="shared" si="10"/>
        <v>12.83918464548864</v>
      </c>
      <c r="O23" s="3">
        <f t="shared" si="0"/>
        <v>2.5678369290977283</v>
      </c>
      <c r="P23" s="1">
        <f t="shared" si="11"/>
        <v>0.2</v>
      </c>
    </row>
    <row r="24" spans="1:16" x14ac:dyDescent="0.2">
      <c r="A24" s="1">
        <f t="shared" si="1"/>
        <v>19</v>
      </c>
      <c r="B24" s="1">
        <v>1</v>
      </c>
      <c r="C24" s="1">
        <v>1</v>
      </c>
      <c r="D24" s="1">
        <v>1</v>
      </c>
      <c r="E24" s="1">
        <f t="shared" si="2"/>
        <v>1</v>
      </c>
      <c r="F24" s="1">
        <f t="shared" si="3"/>
        <v>1</v>
      </c>
      <c r="G24" s="2">
        <f t="shared" si="4"/>
        <v>1</v>
      </c>
      <c r="H24" s="2">
        <f t="shared" si="5"/>
        <v>0</v>
      </c>
      <c r="I24" s="2">
        <f t="shared" si="6"/>
        <v>1</v>
      </c>
      <c r="J24" s="2">
        <f t="shared" si="7"/>
        <v>0</v>
      </c>
      <c r="K24" s="1">
        <f t="shared" si="8"/>
        <v>1</v>
      </c>
      <c r="L24" s="1">
        <f t="shared" si="9"/>
        <v>0</v>
      </c>
      <c r="N24" s="3">
        <f t="shared" si="10"/>
        <v>15.407021574586368</v>
      </c>
      <c r="O24" s="3">
        <f t="shared" si="0"/>
        <v>3.0814043149172736</v>
      </c>
      <c r="P24" s="1">
        <f t="shared" si="11"/>
        <v>0.2</v>
      </c>
    </row>
    <row r="25" spans="1:16" x14ac:dyDescent="0.2">
      <c r="A25" s="1">
        <f t="shared" si="1"/>
        <v>20</v>
      </c>
      <c r="B25" s="1">
        <v>1</v>
      </c>
      <c r="C25" s="1">
        <v>1</v>
      </c>
      <c r="D25" s="1">
        <v>1</v>
      </c>
      <c r="E25" s="1">
        <f t="shared" si="2"/>
        <v>1</v>
      </c>
      <c r="F25" s="1">
        <f t="shared" si="3"/>
        <v>1</v>
      </c>
      <c r="G25" s="2">
        <f t="shared" si="4"/>
        <v>1</v>
      </c>
      <c r="H25" s="2">
        <f t="shared" si="5"/>
        <v>0</v>
      </c>
      <c r="I25" s="2">
        <f t="shared" si="6"/>
        <v>1</v>
      </c>
      <c r="J25" s="2">
        <f t="shared" si="7"/>
        <v>0</v>
      </c>
      <c r="K25" s="1">
        <f t="shared" si="8"/>
        <v>1</v>
      </c>
      <c r="L25" s="1">
        <f t="shared" si="9"/>
        <v>0</v>
      </c>
      <c r="N25" s="3">
        <f t="shared" si="10"/>
        <v>18.488425889503642</v>
      </c>
      <c r="O25" s="3">
        <f t="shared" si="0"/>
        <v>3.6976851779007287</v>
      </c>
      <c r="P25" s="1">
        <f t="shared" si="11"/>
        <v>0.2</v>
      </c>
    </row>
    <row r="26" spans="1:16" x14ac:dyDescent="0.2">
      <c r="A26" s="1">
        <f t="shared" si="1"/>
        <v>21</v>
      </c>
      <c r="B26" s="1">
        <v>1</v>
      </c>
      <c r="C26" s="1">
        <v>1</v>
      </c>
      <c r="D26" s="1">
        <v>1</v>
      </c>
      <c r="E26" s="1">
        <f t="shared" si="2"/>
        <v>1</v>
      </c>
      <c r="F26" s="1">
        <f t="shared" si="3"/>
        <v>1</v>
      </c>
      <c r="G26" s="2">
        <f t="shared" si="4"/>
        <v>1</v>
      </c>
      <c r="H26" s="2">
        <f t="shared" si="5"/>
        <v>0</v>
      </c>
      <c r="I26" s="2">
        <f t="shared" si="6"/>
        <v>1</v>
      </c>
      <c r="J26" s="2">
        <f t="shared" si="7"/>
        <v>0</v>
      </c>
      <c r="K26" s="1">
        <f t="shared" si="8"/>
        <v>1</v>
      </c>
      <c r="L26" s="1">
        <f t="shared" si="9"/>
        <v>0</v>
      </c>
      <c r="N26" s="3">
        <f t="shared" si="10"/>
        <v>22.186111067404369</v>
      </c>
      <c r="O26" s="3">
        <f t="shared" si="0"/>
        <v>4.4372222134808741</v>
      </c>
      <c r="P26" s="1">
        <f t="shared" si="11"/>
        <v>0.2</v>
      </c>
    </row>
    <row r="27" spans="1:16" x14ac:dyDescent="0.2">
      <c r="A27" s="1">
        <f t="shared" si="1"/>
        <v>22</v>
      </c>
      <c r="B27" s="1">
        <v>1</v>
      </c>
      <c r="C27" s="1">
        <v>1</v>
      </c>
      <c r="D27" s="1">
        <v>0</v>
      </c>
      <c r="E27" s="1">
        <f t="shared" si="2"/>
        <v>1</v>
      </c>
      <c r="F27" s="1">
        <f t="shared" si="3"/>
        <v>1</v>
      </c>
      <c r="G27" s="2">
        <f t="shared" si="4"/>
        <v>1</v>
      </c>
      <c r="H27" s="2">
        <f t="shared" si="5"/>
        <v>0</v>
      </c>
      <c r="I27" s="2">
        <f t="shared" si="6"/>
        <v>1</v>
      </c>
      <c r="J27" s="2">
        <f t="shared" si="7"/>
        <v>0</v>
      </c>
      <c r="K27" s="1">
        <f t="shared" si="8"/>
        <v>1</v>
      </c>
      <c r="L27" s="1">
        <f t="shared" si="9"/>
        <v>0</v>
      </c>
      <c r="N27" s="3">
        <f t="shared" si="10"/>
        <v>26.623333280885241</v>
      </c>
      <c r="O27" s="3">
        <f t="shared" si="0"/>
        <v>5.3246666561770484</v>
      </c>
      <c r="P27" s="1">
        <f t="shared" si="11"/>
        <v>0.2</v>
      </c>
    </row>
    <row r="28" spans="1:16" x14ac:dyDescent="0.2">
      <c r="A28" s="1">
        <f t="shared" si="1"/>
        <v>23</v>
      </c>
      <c r="B28" s="1">
        <v>1</v>
      </c>
      <c r="C28" s="1">
        <v>1</v>
      </c>
      <c r="D28" s="1">
        <v>0</v>
      </c>
      <c r="E28" s="1">
        <f t="shared" si="2"/>
        <v>1</v>
      </c>
      <c r="F28" s="1">
        <f t="shared" si="3"/>
        <v>0</v>
      </c>
      <c r="G28" s="2">
        <f t="shared" si="4"/>
        <v>1</v>
      </c>
      <c r="H28" s="2">
        <f t="shared" si="5"/>
        <v>0</v>
      </c>
      <c r="I28" s="2">
        <f t="shared" si="6"/>
        <v>1</v>
      </c>
      <c r="J28" s="2">
        <f t="shared" si="7"/>
        <v>0</v>
      </c>
      <c r="K28" s="1">
        <f t="shared" si="8"/>
        <v>1</v>
      </c>
      <c r="L28" s="1">
        <f t="shared" si="9"/>
        <v>0</v>
      </c>
      <c r="N28" s="3">
        <f t="shared" si="10"/>
        <v>31.947999937062288</v>
      </c>
      <c r="O28" s="3">
        <f t="shared" si="0"/>
        <v>6.389599987412458</v>
      </c>
      <c r="P28" s="1">
        <f t="shared" si="11"/>
        <v>0.2</v>
      </c>
    </row>
    <row r="29" spans="1:16" x14ac:dyDescent="0.2">
      <c r="A29" s="1">
        <f t="shared" si="1"/>
        <v>24</v>
      </c>
      <c r="B29" s="1">
        <v>1</v>
      </c>
      <c r="C29" s="1">
        <v>1</v>
      </c>
      <c r="D29" s="1">
        <v>0</v>
      </c>
      <c r="E29" s="1">
        <f t="shared" si="2"/>
        <v>1</v>
      </c>
      <c r="F29" s="1">
        <f t="shared" si="3"/>
        <v>0</v>
      </c>
      <c r="G29" s="2">
        <f t="shared" si="4"/>
        <v>1</v>
      </c>
      <c r="H29" s="2">
        <f t="shared" si="5"/>
        <v>0</v>
      </c>
      <c r="I29" s="2">
        <f t="shared" si="6"/>
        <v>1</v>
      </c>
      <c r="J29" s="2">
        <f t="shared" si="7"/>
        <v>0</v>
      </c>
      <c r="K29" s="1">
        <f t="shared" si="8"/>
        <v>1</v>
      </c>
      <c r="L29" s="1">
        <f t="shared" si="9"/>
        <v>0</v>
      </c>
      <c r="N29" s="3">
        <f t="shared" si="10"/>
        <v>38.337599924474745</v>
      </c>
      <c r="O29" s="3">
        <f t="shared" si="0"/>
        <v>7.6675199848949491</v>
      </c>
      <c r="P29" s="1">
        <f t="shared" si="11"/>
        <v>0.2</v>
      </c>
    </row>
    <row r="30" spans="1:16" x14ac:dyDescent="0.2">
      <c r="A30" s="1">
        <f t="shared" si="1"/>
        <v>25</v>
      </c>
      <c r="B30" s="1">
        <v>1</v>
      </c>
      <c r="C30" s="1">
        <v>1</v>
      </c>
      <c r="D30" s="1">
        <v>0</v>
      </c>
      <c r="E30" s="1">
        <f t="shared" si="2"/>
        <v>1</v>
      </c>
      <c r="F30" s="1">
        <f t="shared" si="3"/>
        <v>0</v>
      </c>
      <c r="G30" s="2">
        <f t="shared" si="4"/>
        <v>1</v>
      </c>
      <c r="H30" s="2">
        <f t="shared" si="5"/>
        <v>0</v>
      </c>
      <c r="I30" s="2">
        <f t="shared" si="6"/>
        <v>1</v>
      </c>
      <c r="J30" s="2">
        <f t="shared" si="7"/>
        <v>0</v>
      </c>
      <c r="K30" s="1">
        <f t="shared" si="8"/>
        <v>1</v>
      </c>
      <c r="L30" s="1">
        <f t="shared" si="9"/>
        <v>0</v>
      </c>
      <c r="N30" s="3">
        <f t="shared" si="10"/>
        <v>46.005119909369697</v>
      </c>
      <c r="O30" s="3">
        <f t="shared" si="0"/>
        <v>9.2010239818739397</v>
      </c>
      <c r="P30" s="1">
        <f t="shared" si="11"/>
        <v>0.2</v>
      </c>
    </row>
    <row r="31" spans="1:16" x14ac:dyDescent="0.2">
      <c r="A31" s="1">
        <f t="shared" si="1"/>
        <v>26</v>
      </c>
      <c r="B31" s="1">
        <v>1</v>
      </c>
      <c r="C31" s="1">
        <v>1</v>
      </c>
      <c r="D31" s="1">
        <v>0</v>
      </c>
      <c r="E31" s="1">
        <f t="shared" si="2"/>
        <v>1</v>
      </c>
      <c r="F31" s="1">
        <f t="shared" si="3"/>
        <v>0</v>
      </c>
      <c r="G31" s="2">
        <f t="shared" si="4"/>
        <v>1</v>
      </c>
      <c r="H31" s="2">
        <f t="shared" si="5"/>
        <v>0</v>
      </c>
      <c r="I31" s="2">
        <f t="shared" si="6"/>
        <v>1</v>
      </c>
      <c r="J31" s="2">
        <f t="shared" si="7"/>
        <v>0</v>
      </c>
      <c r="K31" s="1">
        <f t="shared" si="8"/>
        <v>1</v>
      </c>
      <c r="L31" s="1">
        <f t="shared" si="9"/>
        <v>0</v>
      </c>
      <c r="N31" s="3">
        <f t="shared" si="10"/>
        <v>55.206143891243634</v>
      </c>
      <c r="O31" s="3">
        <f t="shared" si="0"/>
        <v>11.041228778248728</v>
      </c>
      <c r="P31" s="1">
        <f t="shared" si="11"/>
        <v>0.2</v>
      </c>
    </row>
    <row r="32" spans="1:16" x14ac:dyDescent="0.2">
      <c r="A32" s="1">
        <f t="shared" si="1"/>
        <v>27</v>
      </c>
      <c r="B32" s="1">
        <v>1</v>
      </c>
      <c r="C32" s="1">
        <v>1</v>
      </c>
      <c r="D32" s="1">
        <v>0</v>
      </c>
      <c r="E32" s="1">
        <f t="shared" si="2"/>
        <v>1</v>
      </c>
      <c r="F32" s="1">
        <f t="shared" si="3"/>
        <v>0</v>
      </c>
      <c r="G32" s="2">
        <f t="shared" si="4"/>
        <v>1</v>
      </c>
      <c r="H32" s="2">
        <f t="shared" si="5"/>
        <v>0</v>
      </c>
      <c r="I32" s="2">
        <f t="shared" si="6"/>
        <v>1</v>
      </c>
      <c r="J32" s="2">
        <f t="shared" si="7"/>
        <v>0</v>
      </c>
      <c r="K32" s="1">
        <f t="shared" si="8"/>
        <v>1</v>
      </c>
      <c r="L32" s="1">
        <f t="shared" si="9"/>
        <v>0</v>
      </c>
      <c r="N32" s="3">
        <f t="shared" si="10"/>
        <v>66.247372669492364</v>
      </c>
      <c r="O32" s="3">
        <f t="shared" si="0"/>
        <v>13.249474533898473</v>
      </c>
      <c r="P32" s="1">
        <f t="shared" si="11"/>
        <v>0.2</v>
      </c>
    </row>
    <row r="33" spans="1:16" x14ac:dyDescent="0.2">
      <c r="A33" s="1">
        <f t="shared" si="1"/>
        <v>28</v>
      </c>
      <c r="B33" s="1">
        <v>1</v>
      </c>
      <c r="C33" s="1">
        <v>0</v>
      </c>
      <c r="D33" s="1">
        <v>0</v>
      </c>
      <c r="E33" s="1">
        <f t="shared" si="2"/>
        <v>1</v>
      </c>
      <c r="F33" s="1">
        <f t="shared" si="3"/>
        <v>0</v>
      </c>
      <c r="G33" s="2">
        <f t="shared" si="4"/>
        <v>1</v>
      </c>
      <c r="H33" s="2">
        <f t="shared" si="5"/>
        <v>0</v>
      </c>
      <c r="I33" s="2">
        <f t="shared" si="6"/>
        <v>1</v>
      </c>
      <c r="J33" s="2">
        <f t="shared" si="7"/>
        <v>0</v>
      </c>
      <c r="K33" s="1">
        <f t="shared" si="8"/>
        <v>1</v>
      </c>
      <c r="L33" s="1">
        <f t="shared" si="9"/>
        <v>0</v>
      </c>
      <c r="N33" s="3">
        <f t="shared" si="10"/>
        <v>79.496847203390843</v>
      </c>
      <c r="O33" s="3">
        <f t="shared" si="0"/>
        <v>15.89936944067817</v>
      </c>
      <c r="P33" s="1">
        <f t="shared" si="11"/>
        <v>0.2</v>
      </c>
    </row>
    <row r="34" spans="1:16" x14ac:dyDescent="0.2">
      <c r="A34" s="1">
        <f t="shared" si="1"/>
        <v>29</v>
      </c>
      <c r="B34" s="1">
        <v>1</v>
      </c>
      <c r="C34" s="1">
        <v>0</v>
      </c>
      <c r="D34" s="1">
        <v>0</v>
      </c>
      <c r="E34" s="1">
        <f t="shared" si="2"/>
        <v>0</v>
      </c>
      <c r="F34" s="1">
        <f t="shared" si="3"/>
        <v>0</v>
      </c>
      <c r="G34" s="2">
        <f t="shared" si="4"/>
        <v>1</v>
      </c>
      <c r="H34" s="2">
        <f t="shared" si="5"/>
        <v>0</v>
      </c>
      <c r="I34" s="2">
        <f t="shared" si="6"/>
        <v>1</v>
      </c>
      <c r="J34" s="2">
        <f t="shared" si="7"/>
        <v>0</v>
      </c>
      <c r="K34" s="1">
        <f t="shared" si="8"/>
        <v>0</v>
      </c>
      <c r="L34" s="1">
        <f t="shared" si="9"/>
        <v>0</v>
      </c>
      <c r="N34" s="3">
        <f t="shared" si="10"/>
        <v>95.396216644069014</v>
      </c>
      <c r="O34" s="3">
        <f t="shared" si="0"/>
        <v>0</v>
      </c>
      <c r="P34" s="1">
        <f t="shared" si="11"/>
        <v>0.2</v>
      </c>
    </row>
    <row r="35" spans="1:16" x14ac:dyDescent="0.2">
      <c r="A35" s="1">
        <f t="shared" si="1"/>
        <v>30</v>
      </c>
      <c r="B35" s="1">
        <v>1</v>
      </c>
      <c r="C35" s="1">
        <v>0</v>
      </c>
      <c r="D35" s="1">
        <v>0</v>
      </c>
      <c r="E35" s="1">
        <f t="shared" si="2"/>
        <v>0</v>
      </c>
      <c r="F35" s="1">
        <f t="shared" si="3"/>
        <v>0</v>
      </c>
      <c r="G35" s="2">
        <f t="shared" si="4"/>
        <v>0</v>
      </c>
      <c r="H35" s="2">
        <f t="shared" si="5"/>
        <v>0</v>
      </c>
      <c r="I35" s="2">
        <f t="shared" si="6"/>
        <v>1</v>
      </c>
      <c r="J35" s="2">
        <f t="shared" si="7"/>
        <v>0</v>
      </c>
      <c r="K35" s="1">
        <f t="shared" si="8"/>
        <v>0</v>
      </c>
      <c r="L35" s="1">
        <f t="shared" si="9"/>
        <v>0</v>
      </c>
      <c r="N35" s="3">
        <f t="shared" si="10"/>
        <v>95.396216644069014</v>
      </c>
      <c r="O35" s="3">
        <f t="shared" si="0"/>
        <v>0</v>
      </c>
      <c r="P35" s="1">
        <f t="shared" si="11"/>
        <v>0.2</v>
      </c>
    </row>
    <row r="36" spans="1:16" x14ac:dyDescent="0.2">
      <c r="A36" s="1">
        <f t="shared" si="1"/>
        <v>31</v>
      </c>
      <c r="B36" s="1">
        <v>1</v>
      </c>
      <c r="C36" s="1">
        <v>0</v>
      </c>
      <c r="D36" s="1">
        <v>0</v>
      </c>
      <c r="E36" s="1">
        <f t="shared" si="2"/>
        <v>0</v>
      </c>
      <c r="F36" s="1">
        <f t="shared" si="3"/>
        <v>0</v>
      </c>
      <c r="G36" s="2">
        <f t="shared" si="4"/>
        <v>0</v>
      </c>
      <c r="H36" s="2">
        <f t="shared" si="5"/>
        <v>0</v>
      </c>
      <c r="I36" s="2">
        <f t="shared" si="6"/>
        <v>0</v>
      </c>
      <c r="J36" s="2">
        <f t="shared" si="7"/>
        <v>0</v>
      </c>
      <c r="K36" s="1">
        <f t="shared" si="8"/>
        <v>0</v>
      </c>
      <c r="L36" s="1">
        <f t="shared" si="9"/>
        <v>0</v>
      </c>
      <c r="N36" s="3">
        <f t="shared" si="10"/>
        <v>95.396216644069014</v>
      </c>
      <c r="O36" s="3">
        <f t="shared" si="0"/>
        <v>0</v>
      </c>
      <c r="P36" s="1">
        <f t="shared" si="11"/>
        <v>0.2</v>
      </c>
    </row>
    <row r="37" spans="1:16" x14ac:dyDescent="0.2">
      <c r="A37" s="1">
        <f t="shared" si="1"/>
        <v>32</v>
      </c>
      <c r="B37" s="1">
        <v>1</v>
      </c>
      <c r="C37" s="1">
        <v>0</v>
      </c>
      <c r="D37" s="1">
        <v>0</v>
      </c>
      <c r="E37" s="1">
        <f t="shared" si="2"/>
        <v>0</v>
      </c>
      <c r="F37" s="1">
        <f t="shared" si="3"/>
        <v>0</v>
      </c>
      <c r="G37" s="2">
        <f t="shared" si="4"/>
        <v>0</v>
      </c>
      <c r="H37" s="2">
        <f t="shared" si="5"/>
        <v>0</v>
      </c>
      <c r="I37" s="2">
        <f t="shared" si="6"/>
        <v>0</v>
      </c>
      <c r="J37" s="2">
        <f t="shared" si="7"/>
        <v>0</v>
      </c>
      <c r="K37" s="1">
        <f t="shared" si="8"/>
        <v>0</v>
      </c>
      <c r="L37" s="1">
        <f t="shared" si="9"/>
        <v>0</v>
      </c>
      <c r="N37" s="3">
        <f t="shared" si="10"/>
        <v>95.396216644069014</v>
      </c>
      <c r="O37" s="3">
        <f t="shared" ref="O37:O65" si="12">P37*N37*(K37+L37-K37*L37)</f>
        <v>0</v>
      </c>
      <c r="P37" s="1">
        <f t="shared" si="11"/>
        <v>0.2</v>
      </c>
    </row>
    <row r="38" spans="1:16" x14ac:dyDescent="0.2">
      <c r="A38" s="1">
        <f t="shared" ref="A38:A65" si="13">A37+B37</f>
        <v>33</v>
      </c>
      <c r="B38" s="1">
        <v>1</v>
      </c>
      <c r="C38" s="1">
        <v>0</v>
      </c>
      <c r="D38" s="1">
        <v>0</v>
      </c>
      <c r="E38" s="1">
        <f t="shared" ref="E38:E65" si="14">C37</f>
        <v>0</v>
      </c>
      <c r="F38" s="1">
        <f t="shared" ref="F38:F65" si="15">D37</f>
        <v>0</v>
      </c>
      <c r="G38" s="2">
        <f t="shared" ref="G38:G65" si="16">E37</f>
        <v>0</v>
      </c>
      <c r="H38" s="2">
        <f t="shared" ref="H38:H65" si="17">F37*(1-E37)</f>
        <v>0</v>
      </c>
      <c r="I38" s="2">
        <f t="shared" ref="I38:I65" si="18">G37</f>
        <v>0</v>
      </c>
      <c r="J38" s="2">
        <f t="shared" ref="J38:J65" si="19">H37</f>
        <v>0</v>
      </c>
      <c r="K38" s="1">
        <f t="shared" ref="K38:K65" si="20">I37*C37</f>
        <v>0</v>
      </c>
      <c r="L38" s="1">
        <f t="shared" ref="L38:L65" si="21">J37*D37</f>
        <v>0</v>
      </c>
      <c r="N38" s="3">
        <f t="shared" ref="N38:N65" si="22">N37+O37</f>
        <v>95.396216644069014</v>
      </c>
      <c r="O38" s="3">
        <f t="shared" si="12"/>
        <v>0</v>
      </c>
      <c r="P38" s="1">
        <f t="shared" ref="P38:P65" si="23">P37</f>
        <v>0.2</v>
      </c>
    </row>
    <row r="39" spans="1:16" x14ac:dyDescent="0.2">
      <c r="A39" s="1">
        <f t="shared" si="13"/>
        <v>34</v>
      </c>
      <c r="B39" s="1">
        <v>1</v>
      </c>
      <c r="C39" s="1">
        <v>0</v>
      </c>
      <c r="D39" s="1">
        <v>0</v>
      </c>
      <c r="E39" s="1">
        <f t="shared" si="14"/>
        <v>0</v>
      </c>
      <c r="F39" s="1">
        <f t="shared" si="15"/>
        <v>0</v>
      </c>
      <c r="G39" s="2">
        <f t="shared" si="16"/>
        <v>0</v>
      </c>
      <c r="H39" s="2">
        <f t="shared" si="17"/>
        <v>0</v>
      </c>
      <c r="I39" s="2">
        <f t="shared" si="18"/>
        <v>0</v>
      </c>
      <c r="J39" s="2">
        <f t="shared" si="19"/>
        <v>0</v>
      </c>
      <c r="K39" s="1">
        <f t="shared" si="20"/>
        <v>0</v>
      </c>
      <c r="L39" s="1">
        <f t="shared" si="21"/>
        <v>0</v>
      </c>
      <c r="N39" s="3">
        <f t="shared" si="22"/>
        <v>95.396216644069014</v>
      </c>
      <c r="O39" s="3">
        <f t="shared" si="12"/>
        <v>0</v>
      </c>
      <c r="P39" s="1">
        <f t="shared" si="23"/>
        <v>0.2</v>
      </c>
    </row>
    <row r="40" spans="1:16" x14ac:dyDescent="0.2">
      <c r="A40" s="1">
        <f t="shared" si="13"/>
        <v>35</v>
      </c>
      <c r="B40" s="1">
        <v>1</v>
      </c>
      <c r="C40" s="1">
        <v>0</v>
      </c>
      <c r="D40" s="1">
        <v>0</v>
      </c>
      <c r="E40" s="1">
        <f t="shared" si="14"/>
        <v>0</v>
      </c>
      <c r="F40" s="1">
        <f t="shared" si="15"/>
        <v>0</v>
      </c>
      <c r="G40" s="2">
        <f t="shared" si="16"/>
        <v>0</v>
      </c>
      <c r="H40" s="2">
        <f t="shared" si="17"/>
        <v>0</v>
      </c>
      <c r="I40" s="2">
        <f t="shared" si="18"/>
        <v>0</v>
      </c>
      <c r="J40" s="2">
        <f t="shared" si="19"/>
        <v>0</v>
      </c>
      <c r="K40" s="1">
        <f t="shared" si="20"/>
        <v>0</v>
      </c>
      <c r="L40" s="1">
        <f t="shared" si="21"/>
        <v>0</v>
      </c>
      <c r="N40" s="3">
        <f t="shared" si="22"/>
        <v>95.396216644069014</v>
      </c>
      <c r="O40" s="3">
        <f t="shared" si="12"/>
        <v>0</v>
      </c>
      <c r="P40" s="1">
        <f t="shared" si="23"/>
        <v>0.2</v>
      </c>
    </row>
    <row r="41" spans="1:16" x14ac:dyDescent="0.2">
      <c r="A41" s="1">
        <f t="shared" si="13"/>
        <v>36</v>
      </c>
      <c r="B41" s="1">
        <v>1</v>
      </c>
      <c r="C41" s="1">
        <v>0</v>
      </c>
      <c r="D41" s="1">
        <v>0</v>
      </c>
      <c r="E41" s="1">
        <f t="shared" si="14"/>
        <v>0</v>
      </c>
      <c r="F41" s="1">
        <f t="shared" si="15"/>
        <v>0</v>
      </c>
      <c r="G41" s="2">
        <f t="shared" si="16"/>
        <v>0</v>
      </c>
      <c r="H41" s="2">
        <f t="shared" si="17"/>
        <v>0</v>
      </c>
      <c r="I41" s="2">
        <f t="shared" si="18"/>
        <v>0</v>
      </c>
      <c r="J41" s="2">
        <f t="shared" si="19"/>
        <v>0</v>
      </c>
      <c r="K41" s="1">
        <f t="shared" si="20"/>
        <v>0</v>
      </c>
      <c r="L41" s="1">
        <f t="shared" si="21"/>
        <v>0</v>
      </c>
      <c r="N41" s="3">
        <f t="shared" si="22"/>
        <v>95.396216644069014</v>
      </c>
      <c r="O41" s="3">
        <f t="shared" si="12"/>
        <v>0</v>
      </c>
      <c r="P41" s="1">
        <f t="shared" si="23"/>
        <v>0.2</v>
      </c>
    </row>
    <row r="42" spans="1:16" x14ac:dyDescent="0.2">
      <c r="A42" s="1">
        <f t="shared" si="13"/>
        <v>37</v>
      </c>
      <c r="B42" s="1">
        <v>1</v>
      </c>
      <c r="C42" s="1">
        <v>0</v>
      </c>
      <c r="D42" s="1">
        <v>1</v>
      </c>
      <c r="E42" s="1">
        <f t="shared" si="14"/>
        <v>0</v>
      </c>
      <c r="F42" s="1">
        <f t="shared" si="15"/>
        <v>0</v>
      </c>
      <c r="G42" s="2">
        <f t="shared" si="16"/>
        <v>0</v>
      </c>
      <c r="H42" s="2">
        <f t="shared" si="17"/>
        <v>0</v>
      </c>
      <c r="I42" s="2">
        <f t="shared" si="18"/>
        <v>0</v>
      </c>
      <c r="J42" s="2">
        <f t="shared" si="19"/>
        <v>0</v>
      </c>
      <c r="K42" s="1">
        <f t="shared" si="20"/>
        <v>0</v>
      </c>
      <c r="L42" s="1">
        <f t="shared" si="21"/>
        <v>0</v>
      </c>
      <c r="N42" s="3">
        <f t="shared" si="22"/>
        <v>95.396216644069014</v>
      </c>
      <c r="O42" s="3">
        <f t="shared" si="12"/>
        <v>0</v>
      </c>
      <c r="P42" s="1">
        <f t="shared" si="23"/>
        <v>0.2</v>
      </c>
    </row>
    <row r="43" spans="1:16" x14ac:dyDescent="0.2">
      <c r="A43" s="1">
        <f t="shared" si="13"/>
        <v>38</v>
      </c>
      <c r="B43" s="1">
        <v>1</v>
      </c>
      <c r="C43" s="1">
        <v>0</v>
      </c>
      <c r="D43" s="1">
        <v>1</v>
      </c>
      <c r="E43" s="1">
        <f t="shared" si="14"/>
        <v>0</v>
      </c>
      <c r="F43" s="1">
        <f t="shared" si="15"/>
        <v>1</v>
      </c>
      <c r="G43" s="2">
        <f t="shared" si="16"/>
        <v>0</v>
      </c>
      <c r="H43" s="2">
        <f t="shared" si="17"/>
        <v>0</v>
      </c>
      <c r="I43" s="2">
        <f t="shared" si="18"/>
        <v>0</v>
      </c>
      <c r="J43" s="2">
        <f t="shared" si="19"/>
        <v>0</v>
      </c>
      <c r="K43" s="1">
        <f t="shared" si="20"/>
        <v>0</v>
      </c>
      <c r="L43" s="1">
        <f t="shared" si="21"/>
        <v>0</v>
      </c>
      <c r="N43" s="3">
        <f t="shared" si="22"/>
        <v>95.396216644069014</v>
      </c>
      <c r="O43" s="3">
        <f t="shared" si="12"/>
        <v>0</v>
      </c>
      <c r="P43" s="1">
        <f t="shared" si="23"/>
        <v>0.2</v>
      </c>
    </row>
    <row r="44" spans="1:16" x14ac:dyDescent="0.2">
      <c r="A44" s="1">
        <f t="shared" si="13"/>
        <v>39</v>
      </c>
      <c r="B44" s="1">
        <v>1</v>
      </c>
      <c r="C44" s="1">
        <v>0</v>
      </c>
      <c r="D44" s="1">
        <v>1</v>
      </c>
      <c r="E44" s="1">
        <f t="shared" si="14"/>
        <v>0</v>
      </c>
      <c r="F44" s="1">
        <f t="shared" si="15"/>
        <v>1</v>
      </c>
      <c r="G44" s="2">
        <f t="shared" si="16"/>
        <v>0</v>
      </c>
      <c r="H44" s="2">
        <f t="shared" si="17"/>
        <v>1</v>
      </c>
      <c r="I44" s="2">
        <f t="shared" si="18"/>
        <v>0</v>
      </c>
      <c r="J44" s="2">
        <f t="shared" si="19"/>
        <v>0</v>
      </c>
      <c r="K44" s="1">
        <f t="shared" si="20"/>
        <v>0</v>
      </c>
      <c r="L44" s="1">
        <f t="shared" si="21"/>
        <v>0</v>
      </c>
      <c r="N44" s="3">
        <f t="shared" si="22"/>
        <v>95.396216644069014</v>
      </c>
      <c r="O44" s="3">
        <f t="shared" si="12"/>
        <v>0</v>
      </c>
      <c r="P44" s="1">
        <f t="shared" si="23"/>
        <v>0.2</v>
      </c>
    </row>
    <row r="45" spans="1:16" x14ac:dyDescent="0.2">
      <c r="A45" s="1">
        <f t="shared" si="13"/>
        <v>40</v>
      </c>
      <c r="B45" s="1">
        <v>1</v>
      </c>
      <c r="C45" s="1">
        <v>1</v>
      </c>
      <c r="D45" s="1">
        <v>1</v>
      </c>
      <c r="E45" s="1">
        <f t="shared" si="14"/>
        <v>0</v>
      </c>
      <c r="F45" s="1">
        <f t="shared" si="15"/>
        <v>1</v>
      </c>
      <c r="G45" s="2">
        <f t="shared" si="16"/>
        <v>0</v>
      </c>
      <c r="H45" s="2">
        <f t="shared" si="17"/>
        <v>1</v>
      </c>
      <c r="I45" s="2">
        <f t="shared" si="18"/>
        <v>0</v>
      </c>
      <c r="J45" s="2">
        <f t="shared" si="19"/>
        <v>1</v>
      </c>
      <c r="K45" s="1">
        <f t="shared" si="20"/>
        <v>0</v>
      </c>
      <c r="L45" s="1">
        <f t="shared" si="21"/>
        <v>0</v>
      </c>
      <c r="N45" s="3">
        <f t="shared" si="22"/>
        <v>95.396216644069014</v>
      </c>
      <c r="O45" s="3">
        <f t="shared" si="12"/>
        <v>0</v>
      </c>
      <c r="P45" s="1">
        <f t="shared" si="23"/>
        <v>0.2</v>
      </c>
    </row>
    <row r="46" spans="1:16" x14ac:dyDescent="0.2">
      <c r="A46" s="1">
        <f t="shared" si="13"/>
        <v>41</v>
      </c>
      <c r="B46" s="1">
        <v>1</v>
      </c>
      <c r="C46" s="1">
        <v>1</v>
      </c>
      <c r="D46" s="1">
        <v>1</v>
      </c>
      <c r="E46" s="1">
        <f t="shared" si="14"/>
        <v>1</v>
      </c>
      <c r="F46" s="1">
        <f t="shared" si="15"/>
        <v>1</v>
      </c>
      <c r="G46" s="2">
        <f t="shared" si="16"/>
        <v>0</v>
      </c>
      <c r="H46" s="2">
        <f t="shared" si="17"/>
        <v>1</v>
      </c>
      <c r="I46" s="2">
        <f t="shared" si="18"/>
        <v>0</v>
      </c>
      <c r="J46" s="2">
        <f t="shared" si="19"/>
        <v>1</v>
      </c>
      <c r="K46" s="1">
        <f t="shared" si="20"/>
        <v>0</v>
      </c>
      <c r="L46" s="1">
        <f t="shared" si="21"/>
        <v>1</v>
      </c>
      <c r="N46" s="3">
        <f t="shared" si="22"/>
        <v>95.396216644069014</v>
      </c>
      <c r="O46" s="3">
        <f t="shared" si="12"/>
        <v>19.079243328813803</v>
      </c>
      <c r="P46" s="1">
        <f t="shared" si="23"/>
        <v>0.2</v>
      </c>
    </row>
    <row r="47" spans="1:16" x14ac:dyDescent="0.2">
      <c r="A47" s="1">
        <f t="shared" si="13"/>
        <v>42</v>
      </c>
      <c r="B47" s="1">
        <v>1</v>
      </c>
      <c r="C47" s="1">
        <v>1</v>
      </c>
      <c r="D47" s="1">
        <v>1</v>
      </c>
      <c r="E47" s="1">
        <f t="shared" si="14"/>
        <v>1</v>
      </c>
      <c r="F47" s="1">
        <f t="shared" si="15"/>
        <v>1</v>
      </c>
      <c r="G47" s="2">
        <f t="shared" si="16"/>
        <v>1</v>
      </c>
      <c r="H47" s="2">
        <f t="shared" si="17"/>
        <v>0</v>
      </c>
      <c r="I47" s="2">
        <f t="shared" si="18"/>
        <v>0</v>
      </c>
      <c r="J47" s="2">
        <f t="shared" si="19"/>
        <v>1</v>
      </c>
      <c r="K47" s="1">
        <f t="shared" si="20"/>
        <v>0</v>
      </c>
      <c r="L47" s="1">
        <f t="shared" si="21"/>
        <v>1</v>
      </c>
      <c r="N47" s="3">
        <f t="shared" si="22"/>
        <v>114.47545997288282</v>
      </c>
      <c r="O47" s="3">
        <f t="shared" si="12"/>
        <v>22.895091994576564</v>
      </c>
      <c r="P47" s="1">
        <f t="shared" si="23"/>
        <v>0.2</v>
      </c>
    </row>
    <row r="48" spans="1:16" x14ac:dyDescent="0.2">
      <c r="A48" s="1">
        <f t="shared" si="13"/>
        <v>43</v>
      </c>
      <c r="B48" s="1">
        <v>1</v>
      </c>
      <c r="C48" s="1">
        <v>0</v>
      </c>
      <c r="D48" s="1">
        <v>1</v>
      </c>
      <c r="E48" s="1">
        <f t="shared" si="14"/>
        <v>1</v>
      </c>
      <c r="F48" s="1">
        <f t="shared" si="15"/>
        <v>1</v>
      </c>
      <c r="G48" s="2">
        <f t="shared" si="16"/>
        <v>1</v>
      </c>
      <c r="H48" s="2">
        <f t="shared" si="17"/>
        <v>0</v>
      </c>
      <c r="I48" s="2">
        <f t="shared" si="18"/>
        <v>1</v>
      </c>
      <c r="J48" s="2">
        <f t="shared" si="19"/>
        <v>0</v>
      </c>
      <c r="K48" s="1">
        <f t="shared" si="20"/>
        <v>0</v>
      </c>
      <c r="L48" s="1">
        <f t="shared" si="21"/>
        <v>1</v>
      </c>
      <c r="N48" s="3">
        <f t="shared" si="22"/>
        <v>137.37055196745939</v>
      </c>
      <c r="O48" s="3">
        <f t="shared" si="12"/>
        <v>27.47411039349188</v>
      </c>
      <c r="P48" s="1">
        <f t="shared" si="23"/>
        <v>0.2</v>
      </c>
    </row>
    <row r="49" spans="1:16" x14ac:dyDescent="0.2">
      <c r="A49" s="1">
        <f t="shared" si="13"/>
        <v>44</v>
      </c>
      <c r="B49" s="1">
        <v>1</v>
      </c>
      <c r="C49" s="1">
        <v>0</v>
      </c>
      <c r="D49" s="1">
        <v>1</v>
      </c>
      <c r="E49" s="1">
        <f t="shared" si="14"/>
        <v>0</v>
      </c>
      <c r="F49" s="1">
        <f t="shared" si="15"/>
        <v>1</v>
      </c>
      <c r="G49" s="2">
        <f t="shared" si="16"/>
        <v>1</v>
      </c>
      <c r="H49" s="2">
        <f t="shared" si="17"/>
        <v>0</v>
      </c>
      <c r="I49" s="2">
        <f t="shared" si="18"/>
        <v>1</v>
      </c>
      <c r="J49" s="2">
        <f t="shared" si="19"/>
        <v>0</v>
      </c>
      <c r="K49" s="1">
        <f t="shared" si="20"/>
        <v>0</v>
      </c>
      <c r="L49" s="1">
        <f t="shared" si="21"/>
        <v>0</v>
      </c>
      <c r="N49" s="3">
        <f t="shared" si="22"/>
        <v>164.84466236095128</v>
      </c>
      <c r="O49" s="3">
        <f t="shared" si="12"/>
        <v>0</v>
      </c>
      <c r="P49" s="1">
        <f t="shared" si="23"/>
        <v>0.2</v>
      </c>
    </row>
    <row r="50" spans="1:16" x14ac:dyDescent="0.2">
      <c r="A50" s="1">
        <f t="shared" si="13"/>
        <v>45</v>
      </c>
      <c r="B50" s="1">
        <v>1</v>
      </c>
      <c r="C50" s="1">
        <v>0</v>
      </c>
      <c r="D50" s="1">
        <v>1</v>
      </c>
      <c r="E50" s="1">
        <f t="shared" si="14"/>
        <v>0</v>
      </c>
      <c r="F50" s="1">
        <f t="shared" si="15"/>
        <v>1</v>
      </c>
      <c r="G50" s="2">
        <f t="shared" si="16"/>
        <v>0</v>
      </c>
      <c r="H50" s="2">
        <f t="shared" si="17"/>
        <v>1</v>
      </c>
      <c r="I50" s="2">
        <f t="shared" si="18"/>
        <v>1</v>
      </c>
      <c r="J50" s="2">
        <f t="shared" si="19"/>
        <v>0</v>
      </c>
      <c r="K50" s="1">
        <f t="shared" si="20"/>
        <v>0</v>
      </c>
      <c r="L50" s="1">
        <f t="shared" si="21"/>
        <v>0</v>
      </c>
      <c r="N50" s="3">
        <f t="shared" si="22"/>
        <v>164.84466236095128</v>
      </c>
      <c r="O50" s="3">
        <f t="shared" si="12"/>
        <v>0</v>
      </c>
      <c r="P50" s="1">
        <f t="shared" si="23"/>
        <v>0.2</v>
      </c>
    </row>
    <row r="51" spans="1:16" x14ac:dyDescent="0.2">
      <c r="A51" s="1">
        <f t="shared" si="13"/>
        <v>46</v>
      </c>
      <c r="B51" s="1">
        <v>1</v>
      </c>
      <c r="C51" s="1">
        <v>0</v>
      </c>
      <c r="D51" s="1">
        <v>1</v>
      </c>
      <c r="E51" s="1">
        <f t="shared" si="14"/>
        <v>0</v>
      </c>
      <c r="F51" s="1">
        <f t="shared" si="15"/>
        <v>1</v>
      </c>
      <c r="G51" s="2">
        <f t="shared" si="16"/>
        <v>0</v>
      </c>
      <c r="H51" s="2">
        <f t="shared" si="17"/>
        <v>1</v>
      </c>
      <c r="I51" s="2">
        <f t="shared" si="18"/>
        <v>0</v>
      </c>
      <c r="J51" s="2">
        <f t="shared" si="19"/>
        <v>1</v>
      </c>
      <c r="K51" s="1">
        <f t="shared" si="20"/>
        <v>0</v>
      </c>
      <c r="L51" s="1">
        <f t="shared" si="21"/>
        <v>0</v>
      </c>
      <c r="N51" s="3">
        <f t="shared" si="22"/>
        <v>164.84466236095128</v>
      </c>
      <c r="O51" s="3">
        <f t="shared" si="12"/>
        <v>0</v>
      </c>
      <c r="P51" s="1">
        <f t="shared" si="23"/>
        <v>0.2</v>
      </c>
    </row>
    <row r="52" spans="1:16" x14ac:dyDescent="0.2">
      <c r="A52" s="1">
        <f t="shared" si="13"/>
        <v>47</v>
      </c>
      <c r="B52" s="1">
        <v>1</v>
      </c>
      <c r="C52" s="1">
        <v>0</v>
      </c>
      <c r="D52" s="1">
        <v>1</v>
      </c>
      <c r="E52" s="1">
        <f t="shared" si="14"/>
        <v>0</v>
      </c>
      <c r="F52" s="1">
        <f t="shared" si="15"/>
        <v>1</v>
      </c>
      <c r="G52" s="2">
        <f t="shared" si="16"/>
        <v>0</v>
      </c>
      <c r="H52" s="2">
        <f t="shared" si="17"/>
        <v>1</v>
      </c>
      <c r="I52" s="2">
        <f t="shared" si="18"/>
        <v>0</v>
      </c>
      <c r="J52" s="2">
        <f t="shared" si="19"/>
        <v>1</v>
      </c>
      <c r="K52" s="1">
        <f t="shared" si="20"/>
        <v>0</v>
      </c>
      <c r="L52" s="1">
        <f t="shared" si="21"/>
        <v>1</v>
      </c>
      <c r="N52" s="3">
        <f t="shared" si="22"/>
        <v>164.84466236095128</v>
      </c>
      <c r="O52" s="3">
        <f t="shared" si="12"/>
        <v>32.968932472190254</v>
      </c>
      <c r="P52" s="1">
        <f t="shared" si="23"/>
        <v>0.2</v>
      </c>
    </row>
    <row r="53" spans="1:16" x14ac:dyDescent="0.2">
      <c r="A53" s="1">
        <f t="shared" si="13"/>
        <v>48</v>
      </c>
      <c r="B53" s="1">
        <v>1</v>
      </c>
      <c r="C53" s="1">
        <v>1</v>
      </c>
      <c r="D53" s="1">
        <v>1</v>
      </c>
      <c r="E53" s="1">
        <f t="shared" si="14"/>
        <v>0</v>
      </c>
      <c r="F53" s="1">
        <f t="shared" si="15"/>
        <v>1</v>
      </c>
      <c r="G53" s="2">
        <f t="shared" si="16"/>
        <v>0</v>
      </c>
      <c r="H53" s="2">
        <f t="shared" si="17"/>
        <v>1</v>
      </c>
      <c r="I53" s="2">
        <f t="shared" si="18"/>
        <v>0</v>
      </c>
      <c r="J53" s="2">
        <f t="shared" si="19"/>
        <v>1</v>
      </c>
      <c r="K53" s="1">
        <f t="shared" si="20"/>
        <v>0</v>
      </c>
      <c r="L53" s="1">
        <f t="shared" si="21"/>
        <v>1</v>
      </c>
      <c r="N53" s="3">
        <f t="shared" si="22"/>
        <v>197.81359483314154</v>
      </c>
      <c r="O53" s="3">
        <f t="shared" si="12"/>
        <v>39.56271896662831</v>
      </c>
      <c r="P53" s="1">
        <f t="shared" si="23"/>
        <v>0.2</v>
      </c>
    </row>
    <row r="54" spans="1:16" x14ac:dyDescent="0.2">
      <c r="A54" s="1">
        <f t="shared" si="13"/>
        <v>49</v>
      </c>
      <c r="B54" s="1">
        <v>1</v>
      </c>
      <c r="C54" s="1">
        <v>1</v>
      </c>
      <c r="D54" s="1">
        <v>1</v>
      </c>
      <c r="E54" s="1">
        <f t="shared" si="14"/>
        <v>1</v>
      </c>
      <c r="F54" s="1">
        <f t="shared" si="15"/>
        <v>1</v>
      </c>
      <c r="G54" s="2">
        <f t="shared" si="16"/>
        <v>0</v>
      </c>
      <c r="H54" s="2">
        <f t="shared" si="17"/>
        <v>1</v>
      </c>
      <c r="I54" s="2">
        <f t="shared" si="18"/>
        <v>0</v>
      </c>
      <c r="J54" s="2">
        <f t="shared" si="19"/>
        <v>1</v>
      </c>
      <c r="K54" s="1">
        <f t="shared" si="20"/>
        <v>0</v>
      </c>
      <c r="L54" s="1">
        <f t="shared" si="21"/>
        <v>1</v>
      </c>
      <c r="N54" s="3">
        <f t="shared" si="22"/>
        <v>237.37631379976983</v>
      </c>
      <c r="O54" s="3">
        <f t="shared" si="12"/>
        <v>47.475262759953971</v>
      </c>
      <c r="P54" s="1">
        <f t="shared" si="23"/>
        <v>0.2</v>
      </c>
    </row>
    <row r="55" spans="1:16" x14ac:dyDescent="0.2">
      <c r="A55" s="1">
        <f t="shared" si="13"/>
        <v>50</v>
      </c>
      <c r="B55" s="1">
        <v>1</v>
      </c>
      <c r="C55" s="1">
        <v>1</v>
      </c>
      <c r="D55" s="1">
        <v>0</v>
      </c>
      <c r="E55" s="1">
        <f t="shared" si="14"/>
        <v>1</v>
      </c>
      <c r="F55" s="1">
        <f t="shared" si="15"/>
        <v>1</v>
      </c>
      <c r="G55" s="2">
        <f t="shared" si="16"/>
        <v>1</v>
      </c>
      <c r="H55" s="2">
        <f t="shared" si="17"/>
        <v>0</v>
      </c>
      <c r="I55" s="2">
        <f t="shared" si="18"/>
        <v>0</v>
      </c>
      <c r="J55" s="2">
        <f t="shared" si="19"/>
        <v>1</v>
      </c>
      <c r="K55" s="1">
        <f t="shared" si="20"/>
        <v>0</v>
      </c>
      <c r="L55" s="1">
        <f t="shared" si="21"/>
        <v>1</v>
      </c>
      <c r="N55" s="3">
        <f t="shared" si="22"/>
        <v>284.85157655972381</v>
      </c>
      <c r="O55" s="3">
        <f t="shared" si="12"/>
        <v>56.970315311944766</v>
      </c>
      <c r="P55" s="1">
        <f t="shared" si="23"/>
        <v>0.2</v>
      </c>
    </row>
    <row r="56" spans="1:16" x14ac:dyDescent="0.2">
      <c r="A56" s="1">
        <f t="shared" si="13"/>
        <v>51</v>
      </c>
      <c r="B56" s="1">
        <v>1</v>
      </c>
      <c r="C56" s="1">
        <v>1</v>
      </c>
      <c r="D56" s="1">
        <v>0</v>
      </c>
      <c r="E56" s="1">
        <f t="shared" si="14"/>
        <v>1</v>
      </c>
      <c r="F56" s="1">
        <f t="shared" si="15"/>
        <v>0</v>
      </c>
      <c r="G56" s="2">
        <f t="shared" si="16"/>
        <v>1</v>
      </c>
      <c r="H56" s="2">
        <f t="shared" si="17"/>
        <v>0</v>
      </c>
      <c r="I56" s="2">
        <f t="shared" si="18"/>
        <v>1</v>
      </c>
      <c r="J56" s="2">
        <f t="shared" si="19"/>
        <v>0</v>
      </c>
      <c r="K56" s="1">
        <f t="shared" si="20"/>
        <v>0</v>
      </c>
      <c r="L56" s="1">
        <f t="shared" si="21"/>
        <v>0</v>
      </c>
      <c r="N56" s="3">
        <f t="shared" si="22"/>
        <v>341.82189187166858</v>
      </c>
      <c r="O56" s="3">
        <f t="shared" si="12"/>
        <v>0</v>
      </c>
      <c r="P56" s="1">
        <f t="shared" si="23"/>
        <v>0.2</v>
      </c>
    </row>
    <row r="57" spans="1:16" x14ac:dyDescent="0.2">
      <c r="A57" s="1">
        <f t="shared" si="13"/>
        <v>52</v>
      </c>
      <c r="B57" s="1">
        <v>1</v>
      </c>
      <c r="C57" s="1">
        <v>1</v>
      </c>
      <c r="D57" s="1">
        <v>0</v>
      </c>
      <c r="E57" s="1">
        <f t="shared" si="14"/>
        <v>1</v>
      </c>
      <c r="F57" s="1">
        <f t="shared" si="15"/>
        <v>0</v>
      </c>
      <c r="G57" s="2">
        <f t="shared" si="16"/>
        <v>1</v>
      </c>
      <c r="H57" s="2">
        <f t="shared" si="17"/>
        <v>0</v>
      </c>
      <c r="I57" s="2">
        <f t="shared" si="18"/>
        <v>1</v>
      </c>
      <c r="J57" s="2">
        <f t="shared" si="19"/>
        <v>0</v>
      </c>
      <c r="K57" s="1">
        <f t="shared" si="20"/>
        <v>1</v>
      </c>
      <c r="L57" s="1">
        <f t="shared" si="21"/>
        <v>0</v>
      </c>
      <c r="N57" s="3">
        <f t="shared" si="22"/>
        <v>341.82189187166858</v>
      </c>
      <c r="O57" s="3">
        <f t="shared" si="12"/>
        <v>68.364378374333725</v>
      </c>
      <c r="P57" s="1">
        <f t="shared" si="23"/>
        <v>0.2</v>
      </c>
    </row>
    <row r="58" spans="1:16" x14ac:dyDescent="0.2">
      <c r="A58" s="1">
        <f t="shared" si="13"/>
        <v>53</v>
      </c>
      <c r="B58" s="1">
        <v>1</v>
      </c>
      <c r="C58" s="1">
        <v>1</v>
      </c>
      <c r="D58" s="1">
        <v>0</v>
      </c>
      <c r="E58" s="1">
        <f t="shared" si="14"/>
        <v>1</v>
      </c>
      <c r="F58" s="1">
        <f t="shared" si="15"/>
        <v>0</v>
      </c>
      <c r="G58" s="2">
        <f t="shared" si="16"/>
        <v>1</v>
      </c>
      <c r="H58" s="2">
        <f t="shared" si="17"/>
        <v>0</v>
      </c>
      <c r="I58" s="2">
        <f t="shared" si="18"/>
        <v>1</v>
      </c>
      <c r="J58" s="2">
        <f t="shared" si="19"/>
        <v>0</v>
      </c>
      <c r="K58" s="1">
        <f t="shared" si="20"/>
        <v>1</v>
      </c>
      <c r="L58" s="1">
        <f t="shared" si="21"/>
        <v>0</v>
      </c>
      <c r="N58" s="3">
        <f t="shared" si="22"/>
        <v>410.18627024600232</v>
      </c>
      <c r="O58" s="3">
        <f t="shared" si="12"/>
        <v>82.03725404920047</v>
      </c>
      <c r="P58" s="1">
        <f t="shared" si="23"/>
        <v>0.2</v>
      </c>
    </row>
    <row r="59" spans="1:16" x14ac:dyDescent="0.2">
      <c r="A59" s="1">
        <f t="shared" si="13"/>
        <v>54</v>
      </c>
      <c r="B59" s="1">
        <v>1</v>
      </c>
      <c r="C59" s="1">
        <v>1</v>
      </c>
      <c r="D59" s="1">
        <v>0</v>
      </c>
      <c r="E59" s="1">
        <f t="shared" si="14"/>
        <v>1</v>
      </c>
      <c r="F59" s="1">
        <f t="shared" si="15"/>
        <v>0</v>
      </c>
      <c r="G59" s="2">
        <f t="shared" si="16"/>
        <v>1</v>
      </c>
      <c r="H59" s="2">
        <f t="shared" si="17"/>
        <v>0</v>
      </c>
      <c r="I59" s="2">
        <f t="shared" si="18"/>
        <v>1</v>
      </c>
      <c r="J59" s="2">
        <f t="shared" si="19"/>
        <v>0</v>
      </c>
      <c r="K59" s="1">
        <f t="shared" si="20"/>
        <v>1</v>
      </c>
      <c r="L59" s="1">
        <f t="shared" si="21"/>
        <v>0</v>
      </c>
      <c r="N59" s="3">
        <f t="shared" si="22"/>
        <v>492.22352429520276</v>
      </c>
      <c r="O59" s="3">
        <f t="shared" si="12"/>
        <v>98.444704859040556</v>
      </c>
      <c r="P59" s="1">
        <f t="shared" si="23"/>
        <v>0.2</v>
      </c>
    </row>
    <row r="60" spans="1:16" x14ac:dyDescent="0.2">
      <c r="A60" s="1">
        <f t="shared" si="13"/>
        <v>55</v>
      </c>
      <c r="B60" s="1">
        <v>1</v>
      </c>
      <c r="C60" s="1">
        <v>1</v>
      </c>
      <c r="D60" s="1">
        <v>0</v>
      </c>
      <c r="E60" s="1">
        <f t="shared" si="14"/>
        <v>1</v>
      </c>
      <c r="F60" s="1">
        <f t="shared" si="15"/>
        <v>0</v>
      </c>
      <c r="G60" s="2">
        <f t="shared" si="16"/>
        <v>1</v>
      </c>
      <c r="H60" s="2">
        <f t="shared" si="17"/>
        <v>0</v>
      </c>
      <c r="I60" s="2">
        <f t="shared" si="18"/>
        <v>1</v>
      </c>
      <c r="J60" s="2">
        <f t="shared" si="19"/>
        <v>0</v>
      </c>
      <c r="K60" s="1">
        <f t="shared" si="20"/>
        <v>1</v>
      </c>
      <c r="L60" s="1">
        <f t="shared" si="21"/>
        <v>0</v>
      </c>
      <c r="N60" s="3">
        <f t="shared" si="22"/>
        <v>590.66822915424336</v>
      </c>
      <c r="O60" s="3">
        <f t="shared" si="12"/>
        <v>118.13364583084868</v>
      </c>
      <c r="P60" s="1">
        <f t="shared" si="23"/>
        <v>0.2</v>
      </c>
    </row>
    <row r="61" spans="1:16" x14ac:dyDescent="0.2">
      <c r="A61" s="1">
        <f t="shared" si="13"/>
        <v>56</v>
      </c>
      <c r="B61" s="1">
        <v>1</v>
      </c>
      <c r="C61" s="1">
        <v>1</v>
      </c>
      <c r="D61" s="1">
        <v>0</v>
      </c>
      <c r="E61" s="1">
        <f t="shared" si="14"/>
        <v>1</v>
      </c>
      <c r="F61" s="1">
        <f t="shared" si="15"/>
        <v>0</v>
      </c>
      <c r="G61" s="2">
        <f t="shared" si="16"/>
        <v>1</v>
      </c>
      <c r="H61" s="2">
        <f t="shared" si="17"/>
        <v>0</v>
      </c>
      <c r="I61" s="2">
        <f t="shared" si="18"/>
        <v>1</v>
      </c>
      <c r="J61" s="2">
        <f t="shared" si="19"/>
        <v>0</v>
      </c>
      <c r="K61" s="1">
        <f t="shared" si="20"/>
        <v>1</v>
      </c>
      <c r="L61" s="1">
        <f t="shared" si="21"/>
        <v>0</v>
      </c>
      <c r="N61" s="3">
        <f t="shared" si="22"/>
        <v>708.80187498509201</v>
      </c>
      <c r="O61" s="3">
        <f t="shared" si="12"/>
        <v>141.7603749970184</v>
      </c>
      <c r="P61" s="1">
        <f t="shared" si="23"/>
        <v>0.2</v>
      </c>
    </row>
    <row r="62" spans="1:16" x14ac:dyDescent="0.2">
      <c r="A62" s="1">
        <f t="shared" si="13"/>
        <v>57</v>
      </c>
      <c r="B62" s="1">
        <v>1</v>
      </c>
      <c r="C62" s="1">
        <v>1</v>
      </c>
      <c r="D62" s="1">
        <v>0</v>
      </c>
      <c r="E62" s="1">
        <f t="shared" si="14"/>
        <v>1</v>
      </c>
      <c r="F62" s="1">
        <f t="shared" si="15"/>
        <v>0</v>
      </c>
      <c r="G62" s="2">
        <f t="shared" si="16"/>
        <v>1</v>
      </c>
      <c r="H62" s="2">
        <f t="shared" si="17"/>
        <v>0</v>
      </c>
      <c r="I62" s="2">
        <f t="shared" si="18"/>
        <v>1</v>
      </c>
      <c r="J62" s="2">
        <f t="shared" si="19"/>
        <v>0</v>
      </c>
      <c r="K62" s="1">
        <f t="shared" si="20"/>
        <v>1</v>
      </c>
      <c r="L62" s="1">
        <f t="shared" si="21"/>
        <v>0</v>
      </c>
      <c r="N62" s="3">
        <f t="shared" si="22"/>
        <v>850.56224998211042</v>
      </c>
      <c r="O62" s="3">
        <f t="shared" si="12"/>
        <v>170.1124499964221</v>
      </c>
      <c r="P62" s="1">
        <f t="shared" si="23"/>
        <v>0.2</v>
      </c>
    </row>
    <row r="63" spans="1:16" x14ac:dyDescent="0.2">
      <c r="A63" s="1">
        <f t="shared" si="13"/>
        <v>58</v>
      </c>
      <c r="B63" s="1">
        <v>1</v>
      </c>
      <c r="C63" s="1">
        <v>1</v>
      </c>
      <c r="D63" s="1">
        <v>0</v>
      </c>
      <c r="E63" s="1">
        <f t="shared" si="14"/>
        <v>1</v>
      </c>
      <c r="F63" s="1">
        <f t="shared" si="15"/>
        <v>0</v>
      </c>
      <c r="G63" s="2">
        <f t="shared" si="16"/>
        <v>1</v>
      </c>
      <c r="H63" s="2">
        <f t="shared" si="17"/>
        <v>0</v>
      </c>
      <c r="I63" s="2">
        <f t="shared" si="18"/>
        <v>1</v>
      </c>
      <c r="J63" s="2">
        <f t="shared" si="19"/>
        <v>0</v>
      </c>
      <c r="K63" s="1">
        <f t="shared" si="20"/>
        <v>1</v>
      </c>
      <c r="L63" s="1">
        <f t="shared" si="21"/>
        <v>0</v>
      </c>
      <c r="N63" s="3">
        <f t="shared" si="22"/>
        <v>1020.6746999785325</v>
      </c>
      <c r="O63" s="3">
        <f t="shared" si="12"/>
        <v>204.13493999570653</v>
      </c>
      <c r="P63" s="1">
        <f t="shared" si="23"/>
        <v>0.2</v>
      </c>
    </row>
    <row r="64" spans="1:16" x14ac:dyDescent="0.2">
      <c r="A64" s="1">
        <f t="shared" si="13"/>
        <v>59</v>
      </c>
      <c r="B64" s="1">
        <v>1</v>
      </c>
      <c r="C64" s="1">
        <v>1</v>
      </c>
      <c r="D64" s="1">
        <v>1</v>
      </c>
      <c r="E64" s="1">
        <f t="shared" si="14"/>
        <v>1</v>
      </c>
      <c r="F64" s="1">
        <f t="shared" si="15"/>
        <v>0</v>
      </c>
      <c r="G64" s="2">
        <f t="shared" si="16"/>
        <v>1</v>
      </c>
      <c r="H64" s="2">
        <f t="shared" si="17"/>
        <v>0</v>
      </c>
      <c r="I64" s="2">
        <f t="shared" si="18"/>
        <v>1</v>
      </c>
      <c r="J64" s="2">
        <f t="shared" si="19"/>
        <v>0</v>
      </c>
      <c r="K64" s="1">
        <f t="shared" si="20"/>
        <v>1</v>
      </c>
      <c r="L64" s="1">
        <f t="shared" si="21"/>
        <v>0</v>
      </c>
      <c r="N64" s="3">
        <f t="shared" si="22"/>
        <v>1224.809639974239</v>
      </c>
      <c r="O64" s="3">
        <f t="shared" si="12"/>
        <v>244.9619279948478</v>
      </c>
      <c r="P64" s="1">
        <f t="shared" si="23"/>
        <v>0.2</v>
      </c>
    </row>
    <row r="65" spans="1:16" x14ac:dyDescent="0.2">
      <c r="A65" s="1">
        <f t="shared" si="13"/>
        <v>60</v>
      </c>
      <c r="B65" s="1">
        <v>1</v>
      </c>
      <c r="C65" s="1">
        <v>1</v>
      </c>
      <c r="D65" s="1">
        <v>1</v>
      </c>
      <c r="E65" s="1">
        <f t="shared" si="14"/>
        <v>1</v>
      </c>
      <c r="F65" s="1">
        <f t="shared" si="15"/>
        <v>1</v>
      </c>
      <c r="G65" s="2">
        <f t="shared" si="16"/>
        <v>1</v>
      </c>
      <c r="H65" s="2">
        <f t="shared" si="17"/>
        <v>0</v>
      </c>
      <c r="I65" s="2">
        <f t="shared" si="18"/>
        <v>1</v>
      </c>
      <c r="J65" s="2">
        <f t="shared" si="19"/>
        <v>0</v>
      </c>
      <c r="K65" s="1">
        <f t="shared" si="20"/>
        <v>1</v>
      </c>
      <c r="L65" s="1">
        <f t="shared" si="21"/>
        <v>0</v>
      </c>
      <c r="N65" s="3">
        <f t="shared" si="22"/>
        <v>1469.7715679690868</v>
      </c>
      <c r="O65" s="3">
        <f t="shared" si="12"/>
        <v>293.9543135938174</v>
      </c>
      <c r="P65" s="1">
        <f t="shared" si="23"/>
        <v>0.2</v>
      </c>
    </row>
    <row r="66" spans="1:16" x14ac:dyDescent="0.2">
      <c r="G66" s="2"/>
      <c r="H66" s="2"/>
      <c r="I66" s="2"/>
      <c r="J66" s="2"/>
      <c r="N66" s="3"/>
      <c r="O66" s="3"/>
    </row>
    <row r="67" spans="1:16" x14ac:dyDescent="0.2">
      <c r="G67" s="2"/>
      <c r="H67" s="2"/>
      <c r="I67" s="2"/>
      <c r="J67" s="2"/>
      <c r="N67" s="3"/>
      <c r="O67" s="3"/>
    </row>
    <row r="68" spans="1:16" x14ac:dyDescent="0.2">
      <c r="G68" s="2"/>
      <c r="H68" s="2"/>
      <c r="I68" s="2"/>
      <c r="J68" s="2"/>
      <c r="N68" s="3"/>
      <c r="O68" s="3"/>
    </row>
    <row r="69" spans="1:16" x14ac:dyDescent="0.2">
      <c r="G69" s="2"/>
      <c r="H69" s="2"/>
      <c r="I69" s="2"/>
      <c r="J69" s="2"/>
      <c r="N69" s="3"/>
      <c r="O69" s="3"/>
    </row>
    <row r="70" spans="1:16" x14ac:dyDescent="0.2">
      <c r="G70" s="2"/>
      <c r="H70" s="2"/>
      <c r="I70" s="2"/>
      <c r="J70" s="2"/>
      <c r="N70" s="3"/>
      <c r="O70" s="3"/>
    </row>
    <row r="71" spans="1:16" x14ac:dyDescent="0.2">
      <c r="G71" s="2"/>
      <c r="H71" s="2"/>
      <c r="I71" s="2"/>
      <c r="J71" s="2"/>
      <c r="N71" s="3"/>
      <c r="O71" s="3"/>
    </row>
    <row r="72" spans="1:16" x14ac:dyDescent="0.2">
      <c r="G72" s="2"/>
      <c r="H72" s="2"/>
      <c r="I72" s="2"/>
      <c r="J72" s="2"/>
      <c r="N72" s="3"/>
      <c r="O72" s="3"/>
    </row>
    <row r="73" spans="1:16" x14ac:dyDescent="0.2">
      <c r="G73" s="2"/>
      <c r="H73" s="2"/>
      <c r="I73" s="2"/>
      <c r="J73" s="2"/>
      <c r="N73" s="3"/>
      <c r="O73" s="3"/>
    </row>
    <row r="74" spans="1:16" x14ac:dyDescent="0.2">
      <c r="G74" s="2"/>
      <c r="H74" s="2"/>
      <c r="I74" s="2"/>
      <c r="J74" s="2"/>
      <c r="N74" s="3"/>
      <c r="O74" s="3"/>
    </row>
    <row r="75" spans="1:16" x14ac:dyDescent="0.2">
      <c r="G75" s="2"/>
      <c r="H75" s="2"/>
      <c r="I75" s="2"/>
      <c r="J75" s="2"/>
      <c r="N75" s="3"/>
      <c r="O75" s="3"/>
    </row>
    <row r="76" spans="1:16" x14ac:dyDescent="0.2">
      <c r="G76" s="2"/>
      <c r="H76" s="2"/>
      <c r="I76" s="2"/>
      <c r="J76" s="2"/>
      <c r="N76" s="3"/>
      <c r="O76" s="3"/>
    </row>
    <row r="77" spans="1:16" x14ac:dyDescent="0.2">
      <c r="G77" s="2"/>
      <c r="H77" s="2"/>
      <c r="I77" s="2"/>
      <c r="J77" s="2"/>
      <c r="N77" s="3"/>
      <c r="O77" s="3"/>
    </row>
    <row r="78" spans="1:16" x14ac:dyDescent="0.2">
      <c r="G78" s="2"/>
      <c r="H78" s="2"/>
      <c r="I78" s="2"/>
      <c r="J78" s="2"/>
      <c r="N78" s="3"/>
      <c r="O78" s="3"/>
    </row>
    <row r="79" spans="1:16" x14ac:dyDescent="0.2">
      <c r="G79" s="2"/>
      <c r="H79" s="2"/>
      <c r="I79" s="2"/>
      <c r="J79" s="2"/>
      <c r="N79" s="3"/>
      <c r="O79" s="3"/>
    </row>
    <row r="80" spans="1:16" x14ac:dyDescent="0.2">
      <c r="G80" s="2"/>
      <c r="H80" s="2"/>
      <c r="I80" s="2"/>
      <c r="J80" s="2"/>
      <c r="N80" s="3"/>
      <c r="O80" s="3"/>
    </row>
    <row r="81" spans="7:15" x14ac:dyDescent="0.2">
      <c r="G81" s="2"/>
      <c r="H81" s="2"/>
      <c r="I81" s="2"/>
      <c r="J81" s="2"/>
      <c r="N81" s="3"/>
      <c r="O81" s="3"/>
    </row>
    <row r="82" spans="7:15" x14ac:dyDescent="0.2">
      <c r="G82" s="2"/>
      <c r="H82" s="2"/>
      <c r="I82" s="2"/>
      <c r="J82" s="2"/>
      <c r="N82" s="3"/>
      <c r="O82" s="3"/>
    </row>
    <row r="83" spans="7:15" x14ac:dyDescent="0.2">
      <c r="G83" s="2"/>
      <c r="H83" s="2"/>
      <c r="I83" s="2"/>
      <c r="J83" s="2"/>
      <c r="N83" s="3"/>
      <c r="O83" s="3"/>
    </row>
    <row r="84" spans="7:15" x14ac:dyDescent="0.2">
      <c r="G84" s="2"/>
      <c r="H84" s="2"/>
      <c r="I84" s="2"/>
      <c r="J84" s="2"/>
      <c r="N84" s="3"/>
      <c r="O84" s="3"/>
    </row>
    <row r="85" spans="7:15" x14ac:dyDescent="0.2">
      <c r="G85" s="2"/>
      <c r="H85" s="2"/>
      <c r="I85" s="2"/>
      <c r="J85" s="2"/>
      <c r="N85" s="3"/>
      <c r="O85" s="3"/>
    </row>
    <row r="86" spans="7:15" x14ac:dyDescent="0.2">
      <c r="G86" s="2"/>
      <c r="H86" s="2"/>
      <c r="I86" s="2"/>
      <c r="J86" s="2"/>
      <c r="N86" s="3"/>
      <c r="O86" s="3"/>
    </row>
    <row r="87" spans="7:15" x14ac:dyDescent="0.2">
      <c r="G87" s="2"/>
      <c r="H87" s="2"/>
      <c r="I87" s="2"/>
      <c r="J87" s="2"/>
      <c r="N87" s="3"/>
      <c r="O87" s="3"/>
    </row>
    <row r="88" spans="7:15" x14ac:dyDescent="0.2">
      <c r="G88" s="2"/>
      <c r="H88" s="2"/>
      <c r="I88" s="2"/>
      <c r="J88" s="2"/>
      <c r="N88" s="3"/>
      <c r="O88" s="3"/>
    </row>
    <row r="89" spans="7:15" x14ac:dyDescent="0.2">
      <c r="G89" s="2"/>
      <c r="H89" s="2"/>
      <c r="I89" s="2"/>
      <c r="J89" s="2"/>
      <c r="N89" s="3"/>
      <c r="O89" s="3"/>
    </row>
    <row r="90" spans="7:15" x14ac:dyDescent="0.2">
      <c r="G90" s="2"/>
      <c r="H90" s="2"/>
      <c r="I90" s="2"/>
      <c r="J90" s="2"/>
      <c r="N90" s="3"/>
      <c r="O90" s="3"/>
    </row>
    <row r="91" spans="7:15" x14ac:dyDescent="0.2">
      <c r="G91" s="2"/>
      <c r="H91" s="2"/>
      <c r="I91" s="2"/>
      <c r="J91" s="2"/>
      <c r="N91" s="3"/>
      <c r="O91" s="3"/>
    </row>
    <row r="92" spans="7:15" x14ac:dyDescent="0.2">
      <c r="G92" s="2"/>
      <c r="H92" s="2"/>
      <c r="I92" s="2"/>
      <c r="J92" s="2"/>
      <c r="N92" s="3"/>
      <c r="O92" s="3"/>
    </row>
    <row r="93" spans="7:15" x14ac:dyDescent="0.2">
      <c r="G93" s="2"/>
      <c r="H93" s="2"/>
      <c r="I93" s="2"/>
      <c r="J93" s="2"/>
      <c r="N93" s="3"/>
      <c r="O93" s="3"/>
    </row>
    <row r="94" spans="7:15" x14ac:dyDescent="0.2">
      <c r="G94" s="2"/>
      <c r="H94" s="2"/>
      <c r="I94" s="2"/>
      <c r="J94" s="2"/>
      <c r="N94" s="3"/>
      <c r="O94" s="3"/>
    </row>
    <row r="95" spans="7:15" x14ac:dyDescent="0.2">
      <c r="G95" s="2"/>
      <c r="H95" s="2"/>
      <c r="I95" s="2"/>
      <c r="J95" s="2"/>
      <c r="N95" s="3"/>
      <c r="O95" s="3"/>
    </row>
    <row r="96" spans="7:15" x14ac:dyDescent="0.2">
      <c r="G96" s="2"/>
      <c r="H96" s="2"/>
      <c r="I96" s="2"/>
      <c r="J96" s="2"/>
      <c r="N96" s="3"/>
      <c r="O96" s="3"/>
    </row>
    <row r="97" spans="7:15" x14ac:dyDescent="0.2">
      <c r="G97" s="2"/>
      <c r="H97" s="2"/>
      <c r="I97" s="2"/>
      <c r="J97" s="2"/>
      <c r="N97" s="3"/>
      <c r="O97" s="3"/>
    </row>
    <row r="98" spans="7:15" x14ac:dyDescent="0.2">
      <c r="G98" s="2"/>
      <c r="H98" s="2"/>
      <c r="I98" s="2"/>
      <c r="J98" s="2"/>
      <c r="N98" s="3"/>
      <c r="O98" s="3"/>
    </row>
    <row r="99" spans="7:15" x14ac:dyDescent="0.2">
      <c r="G99" s="2"/>
      <c r="H99" s="2"/>
      <c r="I99" s="2"/>
      <c r="J99" s="2"/>
      <c r="N99" s="3"/>
      <c r="O99" s="3"/>
    </row>
    <row r="100" spans="7:15" x14ac:dyDescent="0.2">
      <c r="G100" s="2"/>
      <c r="H100" s="2"/>
      <c r="I100" s="2"/>
      <c r="J100" s="2"/>
      <c r="N100" s="3"/>
      <c r="O100" s="3"/>
    </row>
    <row r="101" spans="7:15" x14ac:dyDescent="0.2">
      <c r="G101" s="2"/>
      <c r="H101" s="2"/>
      <c r="I101" s="2"/>
      <c r="J101" s="2"/>
      <c r="N101" s="3"/>
      <c r="O101" s="3"/>
    </row>
    <row r="102" spans="7:15" x14ac:dyDescent="0.2">
      <c r="G102" s="2"/>
      <c r="H102" s="2"/>
      <c r="I102" s="2"/>
      <c r="J102" s="2"/>
      <c r="N102" s="3"/>
      <c r="O102" s="3"/>
    </row>
    <row r="103" spans="7:15" x14ac:dyDescent="0.2">
      <c r="G103" s="2"/>
      <c r="H103" s="2"/>
      <c r="I103" s="2"/>
      <c r="J103" s="2"/>
      <c r="N103" s="3"/>
      <c r="O103" s="3"/>
    </row>
    <row r="104" spans="7:15" x14ac:dyDescent="0.2">
      <c r="G104" s="2"/>
      <c r="H104" s="2"/>
      <c r="I104" s="2"/>
      <c r="J104" s="2"/>
      <c r="N104" s="3"/>
      <c r="O104" s="3"/>
    </row>
    <row r="105" spans="7:15" x14ac:dyDescent="0.2">
      <c r="G105" s="2"/>
      <c r="H105" s="2"/>
      <c r="I105" s="2"/>
      <c r="J105" s="2"/>
      <c r="N105" s="3"/>
      <c r="O105" s="3"/>
    </row>
  </sheetData>
  <phoneticPr fontId="0" type="noConversion"/>
  <pageMargins left="0.75" right="0.75" top="0.69" bottom="0.72" header="0.5" footer="0.5"/>
  <pageSetup paperSize="9" scale="65" orientation="portrait" r:id="rId1"/>
  <headerFooter alignWithMargins="0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zoomScaleNormal="100" workbookViewId="0">
      <pane ySplit="4" topLeftCell="A5" activePane="bottomLeft" state="frozen"/>
      <selection pane="bottomLeft" sqref="A1:IV4"/>
    </sheetView>
  </sheetViews>
  <sheetFormatPr defaultColWidth="10.7109375" defaultRowHeight="12" x14ac:dyDescent="0.2"/>
  <cols>
    <col min="1" max="1" width="3" style="1" bestFit="1" customWidth="1"/>
    <col min="2" max="2" width="2.7109375" style="1" bestFit="1" customWidth="1"/>
    <col min="3" max="3" width="7.28515625" style="1" bestFit="1" customWidth="1"/>
    <col min="4" max="4" width="7.140625" style="1" bestFit="1" customWidth="1"/>
    <col min="5" max="6" width="7.7109375" style="1" bestFit="1" customWidth="1"/>
    <col min="7" max="7" width="7.28515625" style="1" bestFit="1" customWidth="1"/>
    <col min="8" max="8" width="7" style="1" bestFit="1" customWidth="1"/>
    <col min="9" max="9" width="7.28515625" style="1" bestFit="1" customWidth="1"/>
    <col min="10" max="10" width="6.7109375" style="1" bestFit="1" customWidth="1"/>
    <col min="11" max="11" width="7.28515625" style="1" bestFit="1" customWidth="1"/>
    <col min="12" max="12" width="6.85546875" style="1" bestFit="1" customWidth="1"/>
    <col min="13" max="13" width="5.7109375" style="1" customWidth="1"/>
    <col min="14" max="14" width="7.42578125" style="1" bestFit="1" customWidth="1"/>
    <col min="15" max="15" width="6.42578125" style="1" bestFit="1" customWidth="1"/>
    <col min="16" max="16" width="8.140625" style="1" bestFit="1" customWidth="1"/>
    <col min="17" max="17" width="10.7109375" style="1" customWidth="1"/>
    <col min="18" max="18" width="3.85546875" style="1" customWidth="1"/>
    <col min="19" max="16384" width="10.7109375" style="1"/>
  </cols>
  <sheetData>
    <row r="1" spans="1:18" s="4" customFormat="1" x14ac:dyDescent="0.2">
      <c r="B1" s="5"/>
      <c r="C1" s="5" t="s">
        <v>4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6</v>
      </c>
      <c r="I1" s="5" t="s">
        <v>5</v>
      </c>
      <c r="J1" s="5" t="s">
        <v>6</v>
      </c>
      <c r="K1" s="5" t="s">
        <v>11</v>
      </c>
      <c r="L1" s="5" t="s">
        <v>11</v>
      </c>
      <c r="O1" s="5" t="s">
        <v>21</v>
      </c>
      <c r="P1" s="5" t="s">
        <v>19</v>
      </c>
    </row>
    <row r="2" spans="1:18" s="4" customFormat="1" x14ac:dyDescent="0.2">
      <c r="C2" s="5" t="s">
        <v>5</v>
      </c>
      <c r="D2" s="5" t="s">
        <v>6</v>
      </c>
      <c r="E2" s="5" t="s">
        <v>7</v>
      </c>
      <c r="F2" s="5" t="s">
        <v>7</v>
      </c>
      <c r="G2" s="6" t="s">
        <v>9</v>
      </c>
      <c r="H2" s="6" t="s">
        <v>9</v>
      </c>
      <c r="I2" s="5" t="s">
        <v>10</v>
      </c>
      <c r="J2" s="5" t="s">
        <v>10</v>
      </c>
      <c r="K2" s="5" t="s">
        <v>5</v>
      </c>
      <c r="L2" s="5" t="s">
        <v>6</v>
      </c>
      <c r="N2" s="5" t="s">
        <v>17</v>
      </c>
      <c r="O2" s="5" t="s">
        <v>17</v>
      </c>
      <c r="P2" s="5" t="s">
        <v>22</v>
      </c>
    </row>
    <row r="3" spans="1:18" s="4" customFormat="1" x14ac:dyDescent="0.2"/>
    <row r="4" spans="1:18" s="4" customFormat="1" x14ac:dyDescent="0.2">
      <c r="A4" s="7" t="s">
        <v>1</v>
      </c>
      <c r="B4" s="8" t="s">
        <v>25</v>
      </c>
      <c r="C4" s="7" t="s">
        <v>2</v>
      </c>
      <c r="D4" s="7" t="s">
        <v>3</v>
      </c>
      <c r="E4" s="7" t="s">
        <v>14</v>
      </c>
      <c r="F4" s="7" t="s">
        <v>8</v>
      </c>
      <c r="G4" s="9" t="s">
        <v>12</v>
      </c>
      <c r="H4" s="9" t="s">
        <v>13</v>
      </c>
      <c r="I4" s="9" t="s">
        <v>24</v>
      </c>
      <c r="J4" s="9" t="s">
        <v>23</v>
      </c>
      <c r="K4" s="9" t="s">
        <v>15</v>
      </c>
      <c r="L4" s="9" t="s">
        <v>16</v>
      </c>
      <c r="N4" s="9" t="s">
        <v>18</v>
      </c>
      <c r="O4" s="8" t="s">
        <v>26</v>
      </c>
      <c r="P4" s="10" t="s">
        <v>20</v>
      </c>
    </row>
    <row r="5" spans="1:18" x14ac:dyDescent="0.2">
      <c r="A5" s="1">
        <v>0</v>
      </c>
      <c r="B5" s="1">
        <v>1</v>
      </c>
      <c r="C5" s="1">
        <v>0</v>
      </c>
      <c r="D5" s="1">
        <v>1</v>
      </c>
      <c r="E5" s="1">
        <v>0</v>
      </c>
      <c r="F5" s="1">
        <v>0</v>
      </c>
      <c r="G5" s="2">
        <v>0</v>
      </c>
      <c r="H5" s="2">
        <v>0</v>
      </c>
      <c r="I5" s="2">
        <v>0</v>
      </c>
      <c r="J5" s="1">
        <v>0</v>
      </c>
      <c r="K5" s="1">
        <v>0</v>
      </c>
      <c r="L5" s="1">
        <v>0</v>
      </c>
      <c r="N5" s="3">
        <v>1</v>
      </c>
      <c r="O5" s="3">
        <f t="shared" ref="O5:O36" si="0">P5*N5*(K5+L5-K5*L5)</f>
        <v>0</v>
      </c>
      <c r="P5" s="1">
        <v>0.2</v>
      </c>
    </row>
    <row r="6" spans="1:18" x14ac:dyDescent="0.2">
      <c r="A6" s="1">
        <f t="shared" ref="A6:A37" si="1">A5+B5</f>
        <v>1</v>
      </c>
      <c r="B6" s="1">
        <v>1</v>
      </c>
      <c r="C6" s="1">
        <v>0</v>
      </c>
      <c r="D6" s="1">
        <v>1</v>
      </c>
      <c r="E6" s="1">
        <f t="shared" ref="E6:E37" si="2">C5</f>
        <v>0</v>
      </c>
      <c r="F6" s="1">
        <f t="shared" ref="F6:F37" si="3">D5</f>
        <v>1</v>
      </c>
      <c r="G6" s="2">
        <f t="shared" ref="G6:G37" si="4">E5</f>
        <v>0</v>
      </c>
      <c r="H6" s="2">
        <f t="shared" ref="H6:H37" si="5">F5*(1-E5)</f>
        <v>0</v>
      </c>
      <c r="I6" s="2">
        <f t="shared" ref="I6:I37" si="6">G5</f>
        <v>0</v>
      </c>
      <c r="J6" s="2">
        <f t="shared" ref="J6:J37" si="7">H5</f>
        <v>0</v>
      </c>
      <c r="K6" s="1">
        <f t="shared" ref="K6:K37" si="8">I5*C5</f>
        <v>0</v>
      </c>
      <c r="L6" s="1">
        <f t="shared" ref="L6:L37" si="9">J5*D5</f>
        <v>0</v>
      </c>
      <c r="N6" s="3">
        <f t="shared" ref="N6:N37" si="10">N5+O5</f>
        <v>1</v>
      </c>
      <c r="O6" s="3">
        <f t="shared" si="0"/>
        <v>0</v>
      </c>
      <c r="P6" s="1">
        <f t="shared" ref="P6:P37" si="11">P5</f>
        <v>0.2</v>
      </c>
    </row>
    <row r="7" spans="1:18" x14ac:dyDescent="0.2">
      <c r="A7" s="1">
        <f t="shared" si="1"/>
        <v>2</v>
      </c>
      <c r="B7" s="1">
        <v>1</v>
      </c>
      <c r="C7" s="1">
        <v>0</v>
      </c>
      <c r="D7" s="1">
        <v>1</v>
      </c>
      <c r="E7" s="1">
        <f t="shared" si="2"/>
        <v>0</v>
      </c>
      <c r="F7" s="1">
        <f t="shared" si="3"/>
        <v>1</v>
      </c>
      <c r="G7" s="2">
        <f t="shared" si="4"/>
        <v>0</v>
      </c>
      <c r="H7" s="2">
        <f t="shared" si="5"/>
        <v>1</v>
      </c>
      <c r="I7" s="2">
        <f t="shared" si="6"/>
        <v>0</v>
      </c>
      <c r="J7" s="2">
        <f t="shared" si="7"/>
        <v>0</v>
      </c>
      <c r="K7" s="1">
        <f t="shared" si="8"/>
        <v>0</v>
      </c>
      <c r="L7" s="1">
        <f t="shared" si="9"/>
        <v>0</v>
      </c>
      <c r="N7" s="3">
        <f t="shared" si="10"/>
        <v>1</v>
      </c>
      <c r="O7" s="3">
        <f t="shared" si="0"/>
        <v>0</v>
      </c>
      <c r="P7" s="1">
        <f t="shared" si="11"/>
        <v>0.2</v>
      </c>
    </row>
    <row r="8" spans="1:18" x14ac:dyDescent="0.2">
      <c r="A8" s="1">
        <f t="shared" si="1"/>
        <v>3</v>
      </c>
      <c r="B8" s="1">
        <v>1</v>
      </c>
      <c r="C8" s="1">
        <v>0</v>
      </c>
      <c r="D8" s="1">
        <v>1</v>
      </c>
      <c r="E8" s="1">
        <f t="shared" si="2"/>
        <v>0</v>
      </c>
      <c r="F8" s="1">
        <f t="shared" si="3"/>
        <v>1</v>
      </c>
      <c r="G8" s="2">
        <f t="shared" si="4"/>
        <v>0</v>
      </c>
      <c r="H8" s="2">
        <f t="shared" si="5"/>
        <v>1</v>
      </c>
      <c r="I8" s="2">
        <f t="shared" si="6"/>
        <v>0</v>
      </c>
      <c r="J8" s="2">
        <f t="shared" si="7"/>
        <v>1</v>
      </c>
      <c r="K8" s="1">
        <f t="shared" si="8"/>
        <v>0</v>
      </c>
      <c r="L8" s="1">
        <f t="shared" si="9"/>
        <v>0</v>
      </c>
      <c r="N8" s="3">
        <f t="shared" si="10"/>
        <v>1</v>
      </c>
      <c r="O8" s="3">
        <f t="shared" si="0"/>
        <v>0</v>
      </c>
      <c r="P8" s="1">
        <f t="shared" si="11"/>
        <v>0.2</v>
      </c>
    </row>
    <row r="9" spans="1:18" x14ac:dyDescent="0.2">
      <c r="A9" s="1">
        <f t="shared" si="1"/>
        <v>4</v>
      </c>
      <c r="B9" s="1">
        <v>1</v>
      </c>
      <c r="C9" s="1">
        <v>0</v>
      </c>
      <c r="D9" s="1">
        <v>1</v>
      </c>
      <c r="E9" s="1">
        <f t="shared" si="2"/>
        <v>0</v>
      </c>
      <c r="F9" s="1">
        <f t="shared" si="3"/>
        <v>1</v>
      </c>
      <c r="G9" s="2">
        <f t="shared" si="4"/>
        <v>0</v>
      </c>
      <c r="H9" s="2">
        <f t="shared" si="5"/>
        <v>1</v>
      </c>
      <c r="I9" s="2">
        <f t="shared" si="6"/>
        <v>0</v>
      </c>
      <c r="J9" s="2">
        <f t="shared" si="7"/>
        <v>1</v>
      </c>
      <c r="K9" s="1">
        <f t="shared" si="8"/>
        <v>0</v>
      </c>
      <c r="L9" s="1">
        <f t="shared" si="9"/>
        <v>1</v>
      </c>
      <c r="N9" s="3">
        <f t="shared" si="10"/>
        <v>1</v>
      </c>
      <c r="O9" s="3">
        <f t="shared" si="0"/>
        <v>0.2</v>
      </c>
      <c r="P9" s="1">
        <f t="shared" si="11"/>
        <v>0.2</v>
      </c>
    </row>
    <row r="10" spans="1:18" x14ac:dyDescent="0.2">
      <c r="A10" s="1">
        <f t="shared" si="1"/>
        <v>5</v>
      </c>
      <c r="B10" s="1">
        <v>1</v>
      </c>
      <c r="C10" s="1">
        <v>0</v>
      </c>
      <c r="D10" s="1">
        <v>1</v>
      </c>
      <c r="E10" s="1">
        <f t="shared" si="2"/>
        <v>0</v>
      </c>
      <c r="F10" s="1">
        <f t="shared" si="3"/>
        <v>1</v>
      </c>
      <c r="G10" s="2">
        <f t="shared" si="4"/>
        <v>0</v>
      </c>
      <c r="H10" s="2">
        <f t="shared" si="5"/>
        <v>1</v>
      </c>
      <c r="I10" s="2">
        <f t="shared" si="6"/>
        <v>0</v>
      </c>
      <c r="J10" s="2">
        <f t="shared" si="7"/>
        <v>1</v>
      </c>
      <c r="K10" s="1">
        <f t="shared" si="8"/>
        <v>0</v>
      </c>
      <c r="L10" s="1">
        <f t="shared" si="9"/>
        <v>1</v>
      </c>
      <c r="N10" s="3">
        <f t="shared" si="10"/>
        <v>1.2</v>
      </c>
      <c r="O10" s="3">
        <f t="shared" si="0"/>
        <v>0.24</v>
      </c>
      <c r="P10" s="1">
        <f t="shared" si="11"/>
        <v>0.2</v>
      </c>
    </row>
    <row r="11" spans="1:18" x14ac:dyDescent="0.2">
      <c r="A11" s="1">
        <f t="shared" si="1"/>
        <v>6</v>
      </c>
      <c r="B11" s="1">
        <v>1</v>
      </c>
      <c r="C11" s="1">
        <v>0</v>
      </c>
      <c r="D11" s="1">
        <v>1</v>
      </c>
      <c r="E11" s="1">
        <f t="shared" si="2"/>
        <v>0</v>
      </c>
      <c r="F11" s="1">
        <f t="shared" si="3"/>
        <v>1</v>
      </c>
      <c r="G11" s="2">
        <f t="shared" si="4"/>
        <v>0</v>
      </c>
      <c r="H11" s="2">
        <f t="shared" si="5"/>
        <v>1</v>
      </c>
      <c r="I11" s="2">
        <f t="shared" si="6"/>
        <v>0</v>
      </c>
      <c r="J11" s="2">
        <f t="shared" si="7"/>
        <v>1</v>
      </c>
      <c r="K11" s="1">
        <f t="shared" si="8"/>
        <v>0</v>
      </c>
      <c r="L11" s="1">
        <f t="shared" si="9"/>
        <v>1</v>
      </c>
      <c r="N11" s="3">
        <f t="shared" si="10"/>
        <v>1.44</v>
      </c>
      <c r="O11" s="3">
        <f t="shared" si="0"/>
        <v>0.28799999999999998</v>
      </c>
      <c r="P11" s="1">
        <f t="shared" si="11"/>
        <v>0.2</v>
      </c>
    </row>
    <row r="12" spans="1:18" x14ac:dyDescent="0.2">
      <c r="A12" s="1">
        <f t="shared" si="1"/>
        <v>7</v>
      </c>
      <c r="B12" s="1">
        <v>1</v>
      </c>
      <c r="C12" s="1">
        <v>0</v>
      </c>
      <c r="D12" s="1">
        <v>1</v>
      </c>
      <c r="E12" s="1">
        <f t="shared" si="2"/>
        <v>0</v>
      </c>
      <c r="F12" s="1">
        <f t="shared" si="3"/>
        <v>1</v>
      </c>
      <c r="G12" s="2">
        <f t="shared" si="4"/>
        <v>0</v>
      </c>
      <c r="H12" s="2">
        <f t="shared" si="5"/>
        <v>1</v>
      </c>
      <c r="I12" s="2">
        <f t="shared" si="6"/>
        <v>0</v>
      </c>
      <c r="J12" s="2">
        <f t="shared" si="7"/>
        <v>1</v>
      </c>
      <c r="K12" s="1">
        <f t="shared" si="8"/>
        <v>0</v>
      </c>
      <c r="L12" s="1">
        <f t="shared" si="9"/>
        <v>1</v>
      </c>
      <c r="N12" s="3">
        <f t="shared" si="10"/>
        <v>1.728</v>
      </c>
      <c r="O12" s="3">
        <f t="shared" si="0"/>
        <v>0.34560000000000002</v>
      </c>
      <c r="P12" s="1">
        <f t="shared" si="11"/>
        <v>0.2</v>
      </c>
    </row>
    <row r="13" spans="1:18" x14ac:dyDescent="0.2">
      <c r="A13" s="1">
        <f t="shared" si="1"/>
        <v>8</v>
      </c>
      <c r="B13" s="1">
        <v>1</v>
      </c>
      <c r="C13" s="1">
        <v>0</v>
      </c>
      <c r="D13" s="1">
        <v>1</v>
      </c>
      <c r="E13" s="1">
        <f t="shared" si="2"/>
        <v>0</v>
      </c>
      <c r="F13" s="1">
        <f t="shared" si="3"/>
        <v>1</v>
      </c>
      <c r="G13" s="2">
        <f t="shared" si="4"/>
        <v>0</v>
      </c>
      <c r="H13" s="2">
        <f t="shared" si="5"/>
        <v>1</v>
      </c>
      <c r="I13" s="2">
        <f t="shared" si="6"/>
        <v>0</v>
      </c>
      <c r="J13" s="2">
        <f t="shared" si="7"/>
        <v>1</v>
      </c>
      <c r="K13" s="1">
        <f t="shared" si="8"/>
        <v>0</v>
      </c>
      <c r="L13" s="1">
        <f t="shared" si="9"/>
        <v>1</v>
      </c>
      <c r="N13" s="3">
        <f t="shared" si="10"/>
        <v>2.0735999999999999</v>
      </c>
      <c r="O13" s="3">
        <f t="shared" si="0"/>
        <v>0.41471999999999998</v>
      </c>
      <c r="P13" s="1">
        <f t="shared" si="11"/>
        <v>0.2</v>
      </c>
    </row>
    <row r="14" spans="1:18" x14ac:dyDescent="0.2">
      <c r="A14" s="1">
        <f t="shared" si="1"/>
        <v>9</v>
      </c>
      <c r="B14" s="1">
        <v>1</v>
      </c>
      <c r="C14" s="1">
        <v>0</v>
      </c>
      <c r="D14" s="1">
        <v>1</v>
      </c>
      <c r="E14" s="1">
        <f t="shared" si="2"/>
        <v>0</v>
      </c>
      <c r="F14" s="1">
        <f t="shared" si="3"/>
        <v>1</v>
      </c>
      <c r="G14" s="2">
        <f t="shared" si="4"/>
        <v>0</v>
      </c>
      <c r="H14" s="2">
        <f t="shared" si="5"/>
        <v>1</v>
      </c>
      <c r="I14" s="2">
        <f t="shared" si="6"/>
        <v>0</v>
      </c>
      <c r="J14" s="2">
        <f t="shared" si="7"/>
        <v>1</v>
      </c>
      <c r="K14" s="1">
        <f t="shared" si="8"/>
        <v>0</v>
      </c>
      <c r="L14" s="1">
        <f t="shared" si="9"/>
        <v>1</v>
      </c>
      <c r="N14" s="3">
        <f t="shared" si="10"/>
        <v>2.4883199999999999</v>
      </c>
      <c r="O14" s="3">
        <f t="shared" si="0"/>
        <v>0.497664</v>
      </c>
      <c r="P14" s="1">
        <f t="shared" si="11"/>
        <v>0.2</v>
      </c>
    </row>
    <row r="15" spans="1:18" x14ac:dyDescent="0.2">
      <c r="A15" s="1">
        <f t="shared" si="1"/>
        <v>10</v>
      </c>
      <c r="B15" s="1">
        <v>1</v>
      </c>
      <c r="C15" s="1">
        <v>1</v>
      </c>
      <c r="D15" s="1">
        <v>1</v>
      </c>
      <c r="E15" s="1">
        <f t="shared" si="2"/>
        <v>0</v>
      </c>
      <c r="F15" s="1">
        <f t="shared" si="3"/>
        <v>1</v>
      </c>
      <c r="G15" s="2">
        <f t="shared" si="4"/>
        <v>0</v>
      </c>
      <c r="H15" s="2">
        <f t="shared" si="5"/>
        <v>1</v>
      </c>
      <c r="I15" s="2">
        <f t="shared" si="6"/>
        <v>0</v>
      </c>
      <c r="J15" s="2">
        <f t="shared" si="7"/>
        <v>1</v>
      </c>
      <c r="K15" s="1">
        <f t="shared" si="8"/>
        <v>0</v>
      </c>
      <c r="L15" s="1">
        <f t="shared" si="9"/>
        <v>1</v>
      </c>
      <c r="N15" s="3">
        <f t="shared" si="10"/>
        <v>2.9859839999999997</v>
      </c>
      <c r="O15" s="3">
        <f t="shared" si="0"/>
        <v>0.59719679999999997</v>
      </c>
      <c r="P15" s="1">
        <f t="shared" si="11"/>
        <v>0.2</v>
      </c>
      <c r="R15" s="1" t="s">
        <v>0</v>
      </c>
    </row>
    <row r="16" spans="1:18" x14ac:dyDescent="0.2">
      <c r="A16" s="1">
        <f t="shared" si="1"/>
        <v>11</v>
      </c>
      <c r="B16" s="1">
        <v>1</v>
      </c>
      <c r="C16" s="1">
        <v>1</v>
      </c>
      <c r="D16" s="1">
        <v>1</v>
      </c>
      <c r="E16" s="1">
        <f t="shared" si="2"/>
        <v>1</v>
      </c>
      <c r="F16" s="1">
        <f t="shared" si="3"/>
        <v>1</v>
      </c>
      <c r="G16" s="2">
        <f t="shared" si="4"/>
        <v>0</v>
      </c>
      <c r="H16" s="2">
        <f t="shared" si="5"/>
        <v>1</v>
      </c>
      <c r="I16" s="2">
        <f t="shared" si="6"/>
        <v>0</v>
      </c>
      <c r="J16" s="2">
        <f t="shared" si="7"/>
        <v>1</v>
      </c>
      <c r="K16" s="1">
        <f t="shared" si="8"/>
        <v>0</v>
      </c>
      <c r="L16" s="1">
        <f t="shared" si="9"/>
        <v>1</v>
      </c>
      <c r="N16" s="3">
        <f t="shared" si="10"/>
        <v>3.5831807999999996</v>
      </c>
      <c r="O16" s="3">
        <f t="shared" si="0"/>
        <v>0.71663615999999997</v>
      </c>
      <c r="P16" s="1">
        <f t="shared" si="11"/>
        <v>0.2</v>
      </c>
    </row>
    <row r="17" spans="1:16" x14ac:dyDescent="0.2">
      <c r="A17" s="1">
        <f t="shared" si="1"/>
        <v>12</v>
      </c>
      <c r="B17" s="1">
        <v>1</v>
      </c>
      <c r="C17" s="1">
        <v>1</v>
      </c>
      <c r="D17" s="1">
        <v>1</v>
      </c>
      <c r="E17" s="1">
        <f t="shared" si="2"/>
        <v>1</v>
      </c>
      <c r="F17" s="1">
        <f t="shared" si="3"/>
        <v>1</v>
      </c>
      <c r="G17" s="2">
        <f t="shared" si="4"/>
        <v>1</v>
      </c>
      <c r="H17" s="2">
        <f t="shared" si="5"/>
        <v>0</v>
      </c>
      <c r="I17" s="2">
        <f t="shared" si="6"/>
        <v>0</v>
      </c>
      <c r="J17" s="2">
        <f t="shared" si="7"/>
        <v>1</v>
      </c>
      <c r="K17" s="1">
        <f t="shared" si="8"/>
        <v>0</v>
      </c>
      <c r="L17" s="1">
        <f t="shared" si="9"/>
        <v>1</v>
      </c>
      <c r="N17" s="3">
        <f t="shared" si="10"/>
        <v>4.2998169599999994</v>
      </c>
      <c r="O17" s="3">
        <f t="shared" si="0"/>
        <v>0.85996339199999994</v>
      </c>
      <c r="P17" s="1">
        <f t="shared" si="11"/>
        <v>0.2</v>
      </c>
    </row>
    <row r="18" spans="1:16" x14ac:dyDescent="0.2">
      <c r="A18" s="1">
        <f t="shared" si="1"/>
        <v>13</v>
      </c>
      <c r="B18" s="1">
        <v>1</v>
      </c>
      <c r="C18" s="1">
        <v>1</v>
      </c>
      <c r="D18" s="1">
        <v>1</v>
      </c>
      <c r="E18" s="1">
        <f t="shared" si="2"/>
        <v>1</v>
      </c>
      <c r="F18" s="1">
        <f t="shared" si="3"/>
        <v>1</v>
      </c>
      <c r="G18" s="2">
        <f t="shared" si="4"/>
        <v>1</v>
      </c>
      <c r="H18" s="2">
        <f t="shared" si="5"/>
        <v>0</v>
      </c>
      <c r="I18" s="2">
        <f t="shared" si="6"/>
        <v>1</v>
      </c>
      <c r="J18" s="2">
        <f t="shared" si="7"/>
        <v>0</v>
      </c>
      <c r="K18" s="1">
        <f t="shared" si="8"/>
        <v>0</v>
      </c>
      <c r="L18" s="1">
        <f t="shared" si="9"/>
        <v>1</v>
      </c>
      <c r="M18" s="1" t="s">
        <v>0</v>
      </c>
      <c r="N18" s="3">
        <f t="shared" si="10"/>
        <v>5.1597803519999994</v>
      </c>
      <c r="O18" s="3">
        <f t="shared" si="0"/>
        <v>1.0319560703999999</v>
      </c>
      <c r="P18" s="1">
        <f t="shared" si="11"/>
        <v>0.2</v>
      </c>
    </row>
    <row r="19" spans="1:16" x14ac:dyDescent="0.2">
      <c r="A19" s="1">
        <f t="shared" si="1"/>
        <v>14</v>
      </c>
      <c r="B19" s="1">
        <v>1</v>
      </c>
      <c r="C19" s="1">
        <v>1</v>
      </c>
      <c r="D19" s="1">
        <v>1</v>
      </c>
      <c r="E19" s="1">
        <f t="shared" si="2"/>
        <v>1</v>
      </c>
      <c r="F19" s="1">
        <f t="shared" si="3"/>
        <v>1</v>
      </c>
      <c r="G19" s="2">
        <f t="shared" si="4"/>
        <v>1</v>
      </c>
      <c r="H19" s="2">
        <f t="shared" si="5"/>
        <v>0</v>
      </c>
      <c r="I19" s="2">
        <f t="shared" si="6"/>
        <v>1</v>
      </c>
      <c r="J19" s="2">
        <f t="shared" si="7"/>
        <v>0</v>
      </c>
      <c r="K19" s="1">
        <f t="shared" si="8"/>
        <v>1</v>
      </c>
      <c r="L19" s="1">
        <f t="shared" si="9"/>
        <v>0</v>
      </c>
      <c r="N19" s="3">
        <f t="shared" si="10"/>
        <v>6.1917364223999991</v>
      </c>
      <c r="O19" s="3">
        <f t="shared" si="0"/>
        <v>1.2383472844799999</v>
      </c>
      <c r="P19" s="1">
        <f t="shared" si="11"/>
        <v>0.2</v>
      </c>
    </row>
    <row r="20" spans="1:16" x14ac:dyDescent="0.2">
      <c r="A20" s="1">
        <f t="shared" si="1"/>
        <v>15</v>
      </c>
      <c r="B20" s="1">
        <v>1</v>
      </c>
      <c r="C20" s="1">
        <v>1</v>
      </c>
      <c r="D20" s="1">
        <v>1</v>
      </c>
      <c r="E20" s="1">
        <f t="shared" si="2"/>
        <v>1</v>
      </c>
      <c r="F20" s="1">
        <f t="shared" si="3"/>
        <v>1</v>
      </c>
      <c r="G20" s="2">
        <f t="shared" si="4"/>
        <v>1</v>
      </c>
      <c r="H20" s="2">
        <f t="shared" si="5"/>
        <v>0</v>
      </c>
      <c r="I20" s="2">
        <f t="shared" si="6"/>
        <v>1</v>
      </c>
      <c r="J20" s="2">
        <f t="shared" si="7"/>
        <v>0</v>
      </c>
      <c r="K20" s="1">
        <f t="shared" si="8"/>
        <v>1</v>
      </c>
      <c r="L20" s="1">
        <f t="shared" si="9"/>
        <v>0</v>
      </c>
      <c r="N20" s="3">
        <f t="shared" si="10"/>
        <v>7.4300837068799988</v>
      </c>
      <c r="O20" s="3">
        <f t="shared" si="0"/>
        <v>1.4860167413759999</v>
      </c>
      <c r="P20" s="1">
        <f t="shared" si="11"/>
        <v>0.2</v>
      </c>
    </row>
    <row r="21" spans="1:16" x14ac:dyDescent="0.2">
      <c r="A21" s="1">
        <f t="shared" si="1"/>
        <v>16</v>
      </c>
      <c r="B21" s="1">
        <v>1</v>
      </c>
      <c r="C21" s="1">
        <v>1</v>
      </c>
      <c r="D21" s="1">
        <v>1</v>
      </c>
      <c r="E21" s="1">
        <f t="shared" si="2"/>
        <v>1</v>
      </c>
      <c r="F21" s="1">
        <f t="shared" si="3"/>
        <v>1</v>
      </c>
      <c r="G21" s="2">
        <f t="shared" si="4"/>
        <v>1</v>
      </c>
      <c r="H21" s="2">
        <f t="shared" si="5"/>
        <v>0</v>
      </c>
      <c r="I21" s="2">
        <f t="shared" si="6"/>
        <v>1</v>
      </c>
      <c r="J21" s="2">
        <f t="shared" si="7"/>
        <v>0</v>
      </c>
      <c r="K21" s="1">
        <f t="shared" si="8"/>
        <v>1</v>
      </c>
      <c r="L21" s="1">
        <f t="shared" si="9"/>
        <v>0</v>
      </c>
      <c r="N21" s="3">
        <f t="shared" si="10"/>
        <v>8.9161004482559996</v>
      </c>
      <c r="O21" s="3">
        <f t="shared" si="0"/>
        <v>1.7832200896512</v>
      </c>
      <c r="P21" s="1">
        <f t="shared" si="11"/>
        <v>0.2</v>
      </c>
    </row>
    <row r="22" spans="1:16" x14ac:dyDescent="0.2">
      <c r="A22" s="1">
        <f t="shared" si="1"/>
        <v>17</v>
      </c>
      <c r="B22" s="1">
        <v>1</v>
      </c>
      <c r="C22" s="1">
        <v>1</v>
      </c>
      <c r="D22" s="1">
        <v>1</v>
      </c>
      <c r="E22" s="1">
        <f t="shared" si="2"/>
        <v>1</v>
      </c>
      <c r="F22" s="1">
        <f t="shared" si="3"/>
        <v>1</v>
      </c>
      <c r="G22" s="2">
        <f t="shared" si="4"/>
        <v>1</v>
      </c>
      <c r="H22" s="2">
        <f t="shared" si="5"/>
        <v>0</v>
      </c>
      <c r="I22" s="2">
        <f t="shared" si="6"/>
        <v>1</v>
      </c>
      <c r="J22" s="2">
        <f t="shared" si="7"/>
        <v>0</v>
      </c>
      <c r="K22" s="1">
        <f t="shared" si="8"/>
        <v>1</v>
      </c>
      <c r="L22" s="1">
        <f t="shared" si="9"/>
        <v>0</v>
      </c>
      <c r="N22" s="3">
        <f t="shared" si="10"/>
        <v>10.6993205379072</v>
      </c>
      <c r="O22" s="3">
        <f t="shared" si="0"/>
        <v>2.13986410758144</v>
      </c>
      <c r="P22" s="1">
        <f t="shared" si="11"/>
        <v>0.2</v>
      </c>
    </row>
    <row r="23" spans="1:16" x14ac:dyDescent="0.2">
      <c r="A23" s="1">
        <f t="shared" si="1"/>
        <v>18</v>
      </c>
      <c r="B23" s="1">
        <v>1</v>
      </c>
      <c r="C23" s="1">
        <v>1</v>
      </c>
      <c r="D23" s="1">
        <v>1</v>
      </c>
      <c r="E23" s="1">
        <f t="shared" si="2"/>
        <v>1</v>
      </c>
      <c r="F23" s="1">
        <f t="shared" si="3"/>
        <v>1</v>
      </c>
      <c r="G23" s="2">
        <f t="shared" si="4"/>
        <v>1</v>
      </c>
      <c r="H23" s="2">
        <f t="shared" si="5"/>
        <v>0</v>
      </c>
      <c r="I23" s="2">
        <f t="shared" si="6"/>
        <v>1</v>
      </c>
      <c r="J23" s="2">
        <f t="shared" si="7"/>
        <v>0</v>
      </c>
      <c r="K23" s="1">
        <f t="shared" si="8"/>
        <v>1</v>
      </c>
      <c r="L23" s="1">
        <f t="shared" si="9"/>
        <v>0</v>
      </c>
      <c r="N23" s="3">
        <f t="shared" si="10"/>
        <v>12.83918464548864</v>
      </c>
      <c r="O23" s="3">
        <f t="shared" si="0"/>
        <v>2.5678369290977283</v>
      </c>
      <c r="P23" s="1">
        <f t="shared" si="11"/>
        <v>0.2</v>
      </c>
    </row>
    <row r="24" spans="1:16" x14ac:dyDescent="0.2">
      <c r="A24" s="1">
        <f t="shared" si="1"/>
        <v>19</v>
      </c>
      <c r="B24" s="1">
        <v>1</v>
      </c>
      <c r="C24" s="1">
        <v>1</v>
      </c>
      <c r="D24" s="1">
        <v>1</v>
      </c>
      <c r="E24" s="1">
        <f t="shared" si="2"/>
        <v>1</v>
      </c>
      <c r="F24" s="1">
        <f t="shared" si="3"/>
        <v>1</v>
      </c>
      <c r="G24" s="2">
        <f t="shared" si="4"/>
        <v>1</v>
      </c>
      <c r="H24" s="2">
        <f t="shared" si="5"/>
        <v>0</v>
      </c>
      <c r="I24" s="2">
        <f t="shared" si="6"/>
        <v>1</v>
      </c>
      <c r="J24" s="2">
        <f t="shared" si="7"/>
        <v>0</v>
      </c>
      <c r="K24" s="1">
        <f t="shared" si="8"/>
        <v>1</v>
      </c>
      <c r="L24" s="1">
        <f t="shared" si="9"/>
        <v>0</v>
      </c>
      <c r="N24" s="3">
        <f t="shared" si="10"/>
        <v>15.407021574586368</v>
      </c>
      <c r="O24" s="3">
        <f t="shared" si="0"/>
        <v>3.0814043149172736</v>
      </c>
      <c r="P24" s="1">
        <f t="shared" si="11"/>
        <v>0.2</v>
      </c>
    </row>
    <row r="25" spans="1:16" x14ac:dyDescent="0.2">
      <c r="A25" s="1">
        <f t="shared" si="1"/>
        <v>20</v>
      </c>
      <c r="B25" s="1">
        <v>1</v>
      </c>
      <c r="C25" s="1">
        <v>1</v>
      </c>
      <c r="D25" s="1">
        <v>1</v>
      </c>
      <c r="E25" s="1">
        <f t="shared" si="2"/>
        <v>1</v>
      </c>
      <c r="F25" s="1">
        <f t="shared" si="3"/>
        <v>1</v>
      </c>
      <c r="G25" s="2">
        <f t="shared" si="4"/>
        <v>1</v>
      </c>
      <c r="H25" s="2">
        <f t="shared" si="5"/>
        <v>0</v>
      </c>
      <c r="I25" s="2">
        <f t="shared" si="6"/>
        <v>1</v>
      </c>
      <c r="J25" s="2">
        <f t="shared" si="7"/>
        <v>0</v>
      </c>
      <c r="K25" s="1">
        <f t="shared" si="8"/>
        <v>1</v>
      </c>
      <c r="L25" s="1">
        <f t="shared" si="9"/>
        <v>0</v>
      </c>
      <c r="N25" s="3">
        <f t="shared" si="10"/>
        <v>18.488425889503642</v>
      </c>
      <c r="O25" s="3">
        <f t="shared" si="0"/>
        <v>3.6976851779007287</v>
      </c>
      <c r="P25" s="1">
        <f t="shared" si="11"/>
        <v>0.2</v>
      </c>
    </row>
    <row r="26" spans="1:16" x14ac:dyDescent="0.2">
      <c r="A26" s="1">
        <f t="shared" si="1"/>
        <v>21</v>
      </c>
      <c r="B26" s="1">
        <v>1</v>
      </c>
      <c r="C26" s="1">
        <v>1</v>
      </c>
      <c r="D26" s="1">
        <v>1</v>
      </c>
      <c r="E26" s="1">
        <f t="shared" si="2"/>
        <v>1</v>
      </c>
      <c r="F26" s="1">
        <f t="shared" si="3"/>
        <v>1</v>
      </c>
      <c r="G26" s="2">
        <f t="shared" si="4"/>
        <v>1</v>
      </c>
      <c r="H26" s="2">
        <f t="shared" si="5"/>
        <v>0</v>
      </c>
      <c r="I26" s="2">
        <f t="shared" si="6"/>
        <v>1</v>
      </c>
      <c r="J26" s="2">
        <f t="shared" si="7"/>
        <v>0</v>
      </c>
      <c r="K26" s="1">
        <f t="shared" si="8"/>
        <v>1</v>
      </c>
      <c r="L26" s="1">
        <f t="shared" si="9"/>
        <v>0</v>
      </c>
      <c r="N26" s="3">
        <f t="shared" si="10"/>
        <v>22.186111067404369</v>
      </c>
      <c r="O26" s="3">
        <f t="shared" si="0"/>
        <v>4.4372222134808741</v>
      </c>
      <c r="P26" s="1">
        <f t="shared" si="11"/>
        <v>0.2</v>
      </c>
    </row>
    <row r="27" spans="1:16" x14ac:dyDescent="0.2">
      <c r="A27" s="1">
        <f t="shared" si="1"/>
        <v>22</v>
      </c>
      <c r="B27" s="1">
        <v>1</v>
      </c>
      <c r="C27" s="1">
        <v>1</v>
      </c>
      <c r="D27" s="1">
        <v>0</v>
      </c>
      <c r="E27" s="1">
        <f t="shared" si="2"/>
        <v>1</v>
      </c>
      <c r="F27" s="1">
        <f t="shared" si="3"/>
        <v>1</v>
      </c>
      <c r="G27" s="2">
        <f t="shared" si="4"/>
        <v>1</v>
      </c>
      <c r="H27" s="2">
        <f t="shared" si="5"/>
        <v>0</v>
      </c>
      <c r="I27" s="2">
        <f t="shared" si="6"/>
        <v>1</v>
      </c>
      <c r="J27" s="2">
        <f t="shared" si="7"/>
        <v>0</v>
      </c>
      <c r="K27" s="1">
        <f t="shared" si="8"/>
        <v>1</v>
      </c>
      <c r="L27" s="1">
        <f t="shared" si="9"/>
        <v>0</v>
      </c>
      <c r="N27" s="3">
        <f t="shared" si="10"/>
        <v>26.623333280885241</v>
      </c>
      <c r="O27" s="3">
        <f t="shared" si="0"/>
        <v>5.3246666561770484</v>
      </c>
      <c r="P27" s="1">
        <f t="shared" si="11"/>
        <v>0.2</v>
      </c>
    </row>
    <row r="28" spans="1:16" x14ac:dyDescent="0.2">
      <c r="A28" s="1">
        <f t="shared" si="1"/>
        <v>23</v>
      </c>
      <c r="B28" s="1">
        <v>1</v>
      </c>
      <c r="C28" s="1">
        <v>1</v>
      </c>
      <c r="D28" s="1">
        <v>0</v>
      </c>
      <c r="E28" s="1">
        <f t="shared" si="2"/>
        <v>1</v>
      </c>
      <c r="F28" s="1">
        <f t="shared" si="3"/>
        <v>0</v>
      </c>
      <c r="G28" s="2">
        <f t="shared" si="4"/>
        <v>1</v>
      </c>
      <c r="H28" s="2">
        <f t="shared" si="5"/>
        <v>0</v>
      </c>
      <c r="I28" s="2">
        <f t="shared" si="6"/>
        <v>1</v>
      </c>
      <c r="J28" s="2">
        <f t="shared" si="7"/>
        <v>0</v>
      </c>
      <c r="K28" s="1">
        <f t="shared" si="8"/>
        <v>1</v>
      </c>
      <c r="L28" s="1">
        <f t="shared" si="9"/>
        <v>0</v>
      </c>
      <c r="N28" s="3">
        <f t="shared" si="10"/>
        <v>31.947999937062288</v>
      </c>
      <c r="O28" s="3">
        <f t="shared" si="0"/>
        <v>6.389599987412458</v>
      </c>
      <c r="P28" s="1">
        <f t="shared" si="11"/>
        <v>0.2</v>
      </c>
    </row>
    <row r="29" spans="1:16" x14ac:dyDescent="0.2">
      <c r="A29" s="1">
        <f t="shared" si="1"/>
        <v>24</v>
      </c>
      <c r="B29" s="1">
        <v>1</v>
      </c>
      <c r="C29" s="1">
        <v>1</v>
      </c>
      <c r="D29" s="1">
        <v>0</v>
      </c>
      <c r="E29" s="1">
        <f t="shared" si="2"/>
        <v>1</v>
      </c>
      <c r="F29" s="1">
        <f t="shared" si="3"/>
        <v>0</v>
      </c>
      <c r="G29" s="2">
        <f t="shared" si="4"/>
        <v>1</v>
      </c>
      <c r="H29" s="2">
        <f t="shared" si="5"/>
        <v>0</v>
      </c>
      <c r="I29" s="2">
        <f t="shared" si="6"/>
        <v>1</v>
      </c>
      <c r="J29" s="2">
        <f t="shared" si="7"/>
        <v>0</v>
      </c>
      <c r="K29" s="1">
        <f t="shared" si="8"/>
        <v>1</v>
      </c>
      <c r="L29" s="1">
        <f t="shared" si="9"/>
        <v>0</v>
      </c>
      <c r="N29" s="3">
        <f t="shared" si="10"/>
        <v>38.337599924474745</v>
      </c>
      <c r="O29" s="3">
        <f t="shared" si="0"/>
        <v>7.6675199848949491</v>
      </c>
      <c r="P29" s="1">
        <f t="shared" si="11"/>
        <v>0.2</v>
      </c>
    </row>
    <row r="30" spans="1:16" x14ac:dyDescent="0.2">
      <c r="A30" s="1">
        <f t="shared" si="1"/>
        <v>25</v>
      </c>
      <c r="B30" s="1">
        <v>1</v>
      </c>
      <c r="C30" s="1">
        <v>1</v>
      </c>
      <c r="D30" s="1">
        <v>0</v>
      </c>
      <c r="E30" s="1">
        <f t="shared" si="2"/>
        <v>1</v>
      </c>
      <c r="F30" s="1">
        <f t="shared" si="3"/>
        <v>0</v>
      </c>
      <c r="G30" s="2">
        <f t="shared" si="4"/>
        <v>1</v>
      </c>
      <c r="H30" s="2">
        <f t="shared" si="5"/>
        <v>0</v>
      </c>
      <c r="I30" s="2">
        <f t="shared" si="6"/>
        <v>1</v>
      </c>
      <c r="J30" s="2">
        <f t="shared" si="7"/>
        <v>0</v>
      </c>
      <c r="K30" s="1">
        <f t="shared" si="8"/>
        <v>1</v>
      </c>
      <c r="L30" s="1">
        <f t="shared" si="9"/>
        <v>0</v>
      </c>
      <c r="N30" s="3">
        <f t="shared" si="10"/>
        <v>46.005119909369697</v>
      </c>
      <c r="O30" s="3">
        <f t="shared" si="0"/>
        <v>9.2010239818739397</v>
      </c>
      <c r="P30" s="1">
        <f t="shared" si="11"/>
        <v>0.2</v>
      </c>
    </row>
    <row r="31" spans="1:16" x14ac:dyDescent="0.2">
      <c r="A31" s="1">
        <f t="shared" si="1"/>
        <v>26</v>
      </c>
      <c r="B31" s="1">
        <v>1</v>
      </c>
      <c r="C31" s="1">
        <v>1</v>
      </c>
      <c r="D31" s="1">
        <v>0</v>
      </c>
      <c r="E31" s="1">
        <f t="shared" si="2"/>
        <v>1</v>
      </c>
      <c r="F31" s="1">
        <f t="shared" si="3"/>
        <v>0</v>
      </c>
      <c r="G31" s="2">
        <f t="shared" si="4"/>
        <v>1</v>
      </c>
      <c r="H31" s="2">
        <f t="shared" si="5"/>
        <v>0</v>
      </c>
      <c r="I31" s="2">
        <f t="shared" si="6"/>
        <v>1</v>
      </c>
      <c r="J31" s="2">
        <f t="shared" si="7"/>
        <v>0</v>
      </c>
      <c r="K31" s="1">
        <f t="shared" si="8"/>
        <v>1</v>
      </c>
      <c r="L31" s="1">
        <f t="shared" si="9"/>
        <v>0</v>
      </c>
      <c r="N31" s="3">
        <f t="shared" si="10"/>
        <v>55.206143891243634</v>
      </c>
      <c r="O31" s="3">
        <f t="shared" si="0"/>
        <v>11.041228778248728</v>
      </c>
      <c r="P31" s="1">
        <f t="shared" si="11"/>
        <v>0.2</v>
      </c>
    </row>
    <row r="32" spans="1:16" x14ac:dyDescent="0.2">
      <c r="A32" s="1">
        <f t="shared" si="1"/>
        <v>27</v>
      </c>
      <c r="B32" s="1">
        <v>1</v>
      </c>
      <c r="C32" s="1">
        <v>1</v>
      </c>
      <c r="D32" s="1">
        <v>0</v>
      </c>
      <c r="E32" s="1">
        <f t="shared" si="2"/>
        <v>1</v>
      </c>
      <c r="F32" s="1">
        <f t="shared" si="3"/>
        <v>0</v>
      </c>
      <c r="G32" s="2">
        <f t="shared" si="4"/>
        <v>1</v>
      </c>
      <c r="H32" s="2">
        <f t="shared" si="5"/>
        <v>0</v>
      </c>
      <c r="I32" s="2">
        <f t="shared" si="6"/>
        <v>1</v>
      </c>
      <c r="J32" s="2">
        <f t="shared" si="7"/>
        <v>0</v>
      </c>
      <c r="K32" s="1">
        <f t="shared" si="8"/>
        <v>1</v>
      </c>
      <c r="L32" s="1">
        <f t="shared" si="9"/>
        <v>0</v>
      </c>
      <c r="N32" s="3">
        <f t="shared" si="10"/>
        <v>66.247372669492364</v>
      </c>
      <c r="O32" s="3">
        <f t="shared" si="0"/>
        <v>13.249474533898473</v>
      </c>
      <c r="P32" s="1">
        <f t="shared" si="11"/>
        <v>0.2</v>
      </c>
    </row>
    <row r="33" spans="1:16" x14ac:dyDescent="0.2">
      <c r="A33" s="1">
        <f t="shared" si="1"/>
        <v>28</v>
      </c>
      <c r="B33" s="1">
        <v>1</v>
      </c>
      <c r="C33" s="1">
        <v>0</v>
      </c>
      <c r="D33" s="1">
        <v>0</v>
      </c>
      <c r="E33" s="1">
        <f t="shared" si="2"/>
        <v>1</v>
      </c>
      <c r="F33" s="1">
        <f t="shared" si="3"/>
        <v>0</v>
      </c>
      <c r="G33" s="2">
        <f t="shared" si="4"/>
        <v>1</v>
      </c>
      <c r="H33" s="2">
        <f t="shared" si="5"/>
        <v>0</v>
      </c>
      <c r="I33" s="2">
        <f t="shared" si="6"/>
        <v>1</v>
      </c>
      <c r="J33" s="2">
        <f t="shared" si="7"/>
        <v>0</v>
      </c>
      <c r="K33" s="1">
        <f t="shared" si="8"/>
        <v>1</v>
      </c>
      <c r="L33" s="1">
        <f t="shared" si="9"/>
        <v>0</v>
      </c>
      <c r="N33" s="3">
        <f t="shared" si="10"/>
        <v>79.496847203390843</v>
      </c>
      <c r="O33" s="3">
        <f t="shared" si="0"/>
        <v>15.89936944067817</v>
      </c>
      <c r="P33" s="1">
        <f t="shared" si="11"/>
        <v>0.2</v>
      </c>
    </row>
    <row r="34" spans="1:16" x14ac:dyDescent="0.2">
      <c r="A34" s="1">
        <f t="shared" si="1"/>
        <v>29</v>
      </c>
      <c r="B34" s="1">
        <v>1</v>
      </c>
      <c r="C34" s="1">
        <v>0</v>
      </c>
      <c r="D34" s="1">
        <v>0</v>
      </c>
      <c r="E34" s="1">
        <f t="shared" si="2"/>
        <v>0</v>
      </c>
      <c r="F34" s="1">
        <f t="shared" si="3"/>
        <v>0</v>
      </c>
      <c r="G34" s="2">
        <f t="shared" si="4"/>
        <v>1</v>
      </c>
      <c r="H34" s="2">
        <f t="shared" si="5"/>
        <v>0</v>
      </c>
      <c r="I34" s="2">
        <f t="shared" si="6"/>
        <v>1</v>
      </c>
      <c r="J34" s="2">
        <f t="shared" si="7"/>
        <v>0</v>
      </c>
      <c r="K34" s="1">
        <f t="shared" si="8"/>
        <v>0</v>
      </c>
      <c r="L34" s="1">
        <f t="shared" si="9"/>
        <v>0</v>
      </c>
      <c r="N34" s="3">
        <f t="shared" si="10"/>
        <v>95.396216644069014</v>
      </c>
      <c r="O34" s="3">
        <f t="shared" si="0"/>
        <v>0</v>
      </c>
      <c r="P34" s="1">
        <f t="shared" si="11"/>
        <v>0.2</v>
      </c>
    </row>
    <row r="35" spans="1:16" x14ac:dyDescent="0.2">
      <c r="A35" s="1">
        <f t="shared" si="1"/>
        <v>30</v>
      </c>
      <c r="B35" s="1">
        <v>1</v>
      </c>
      <c r="C35" s="1">
        <v>0</v>
      </c>
      <c r="D35" s="1">
        <v>0</v>
      </c>
      <c r="E35" s="1">
        <f t="shared" si="2"/>
        <v>0</v>
      </c>
      <c r="F35" s="1">
        <f t="shared" si="3"/>
        <v>0</v>
      </c>
      <c r="G35" s="2">
        <f t="shared" si="4"/>
        <v>0</v>
      </c>
      <c r="H35" s="2">
        <f t="shared" si="5"/>
        <v>0</v>
      </c>
      <c r="I35" s="2">
        <f t="shared" si="6"/>
        <v>1</v>
      </c>
      <c r="J35" s="2">
        <f t="shared" si="7"/>
        <v>0</v>
      </c>
      <c r="K35" s="1">
        <f t="shared" si="8"/>
        <v>0</v>
      </c>
      <c r="L35" s="1">
        <f t="shared" si="9"/>
        <v>0</v>
      </c>
      <c r="N35" s="3">
        <f t="shared" si="10"/>
        <v>95.396216644069014</v>
      </c>
      <c r="O35" s="3">
        <f t="shared" si="0"/>
        <v>0</v>
      </c>
      <c r="P35" s="1">
        <f t="shared" si="11"/>
        <v>0.2</v>
      </c>
    </row>
    <row r="36" spans="1:16" x14ac:dyDescent="0.2">
      <c r="A36" s="1">
        <f t="shared" si="1"/>
        <v>31</v>
      </c>
      <c r="B36" s="1">
        <v>1</v>
      </c>
      <c r="C36" s="1">
        <v>0</v>
      </c>
      <c r="D36" s="1">
        <v>0</v>
      </c>
      <c r="E36" s="1">
        <f t="shared" si="2"/>
        <v>0</v>
      </c>
      <c r="F36" s="1">
        <f t="shared" si="3"/>
        <v>0</v>
      </c>
      <c r="G36" s="2">
        <f t="shared" si="4"/>
        <v>0</v>
      </c>
      <c r="H36" s="2">
        <f t="shared" si="5"/>
        <v>0</v>
      </c>
      <c r="I36" s="2">
        <f t="shared" si="6"/>
        <v>0</v>
      </c>
      <c r="J36" s="2">
        <f t="shared" si="7"/>
        <v>0</v>
      </c>
      <c r="K36" s="1">
        <f t="shared" si="8"/>
        <v>0</v>
      </c>
      <c r="L36" s="1">
        <f t="shared" si="9"/>
        <v>0</v>
      </c>
      <c r="N36" s="3">
        <f t="shared" si="10"/>
        <v>95.396216644069014</v>
      </c>
      <c r="O36" s="3">
        <f t="shared" si="0"/>
        <v>0</v>
      </c>
      <c r="P36" s="1">
        <f t="shared" si="11"/>
        <v>0.2</v>
      </c>
    </row>
    <row r="37" spans="1:16" x14ac:dyDescent="0.2">
      <c r="A37" s="1">
        <f t="shared" si="1"/>
        <v>32</v>
      </c>
      <c r="B37" s="1">
        <v>1</v>
      </c>
      <c r="C37" s="1">
        <v>0</v>
      </c>
      <c r="D37" s="1">
        <v>0</v>
      </c>
      <c r="E37" s="1">
        <f t="shared" si="2"/>
        <v>0</v>
      </c>
      <c r="F37" s="1">
        <f t="shared" si="3"/>
        <v>0</v>
      </c>
      <c r="G37" s="2">
        <f t="shared" si="4"/>
        <v>0</v>
      </c>
      <c r="H37" s="2">
        <f t="shared" si="5"/>
        <v>0</v>
      </c>
      <c r="I37" s="2">
        <f t="shared" si="6"/>
        <v>0</v>
      </c>
      <c r="J37" s="2">
        <f t="shared" si="7"/>
        <v>0</v>
      </c>
      <c r="K37" s="1">
        <f t="shared" si="8"/>
        <v>0</v>
      </c>
      <c r="L37" s="1">
        <f t="shared" si="9"/>
        <v>0</v>
      </c>
      <c r="N37" s="3">
        <f t="shared" si="10"/>
        <v>95.396216644069014</v>
      </c>
      <c r="O37" s="3">
        <f t="shared" ref="O37:O65" si="12">P37*N37*(K37+L37-K37*L37)</f>
        <v>0</v>
      </c>
      <c r="P37" s="1">
        <f t="shared" si="11"/>
        <v>0.2</v>
      </c>
    </row>
    <row r="38" spans="1:16" x14ac:dyDescent="0.2">
      <c r="A38" s="1">
        <f t="shared" ref="A38:A65" si="13">A37+B37</f>
        <v>33</v>
      </c>
      <c r="B38" s="1">
        <v>1</v>
      </c>
      <c r="C38" s="1">
        <v>0</v>
      </c>
      <c r="D38" s="1">
        <v>0</v>
      </c>
      <c r="E38" s="1">
        <f t="shared" ref="E38:E65" si="14">C37</f>
        <v>0</v>
      </c>
      <c r="F38" s="1">
        <f t="shared" ref="F38:F65" si="15">D37</f>
        <v>0</v>
      </c>
      <c r="G38" s="2">
        <f t="shared" ref="G38:G65" si="16">E37</f>
        <v>0</v>
      </c>
      <c r="H38" s="2">
        <f t="shared" ref="H38:H65" si="17">F37*(1-E37)</f>
        <v>0</v>
      </c>
      <c r="I38" s="2">
        <f t="shared" ref="I38:I65" si="18">G37</f>
        <v>0</v>
      </c>
      <c r="J38" s="2">
        <f t="shared" ref="J38:J65" si="19">H37</f>
        <v>0</v>
      </c>
      <c r="K38" s="1">
        <f t="shared" ref="K38:K65" si="20">I37*C37</f>
        <v>0</v>
      </c>
      <c r="L38" s="1">
        <f t="shared" ref="L38:L65" si="21">J37*D37</f>
        <v>0</v>
      </c>
      <c r="N38" s="3">
        <f t="shared" ref="N38:N65" si="22">N37+O37</f>
        <v>95.396216644069014</v>
      </c>
      <c r="O38" s="3">
        <f t="shared" si="12"/>
        <v>0</v>
      </c>
      <c r="P38" s="1">
        <f t="shared" ref="P38:P65" si="23">P37</f>
        <v>0.2</v>
      </c>
    </row>
    <row r="39" spans="1:16" x14ac:dyDescent="0.2">
      <c r="A39" s="1">
        <f t="shared" si="13"/>
        <v>34</v>
      </c>
      <c r="B39" s="1">
        <v>1</v>
      </c>
      <c r="C39" s="1">
        <v>0</v>
      </c>
      <c r="D39" s="1">
        <v>0</v>
      </c>
      <c r="E39" s="1">
        <f t="shared" si="14"/>
        <v>0</v>
      </c>
      <c r="F39" s="1">
        <f t="shared" si="15"/>
        <v>0</v>
      </c>
      <c r="G39" s="2">
        <f t="shared" si="16"/>
        <v>0</v>
      </c>
      <c r="H39" s="2">
        <f t="shared" si="17"/>
        <v>0</v>
      </c>
      <c r="I39" s="2">
        <f t="shared" si="18"/>
        <v>0</v>
      </c>
      <c r="J39" s="2">
        <f t="shared" si="19"/>
        <v>0</v>
      </c>
      <c r="K39" s="1">
        <f t="shared" si="20"/>
        <v>0</v>
      </c>
      <c r="L39" s="1">
        <f t="shared" si="21"/>
        <v>0</v>
      </c>
      <c r="N39" s="3">
        <f t="shared" si="22"/>
        <v>95.396216644069014</v>
      </c>
      <c r="O39" s="3">
        <f t="shared" si="12"/>
        <v>0</v>
      </c>
      <c r="P39" s="1">
        <f t="shared" si="23"/>
        <v>0.2</v>
      </c>
    </row>
    <row r="40" spans="1:16" x14ac:dyDescent="0.2">
      <c r="A40" s="1">
        <f t="shared" si="13"/>
        <v>35</v>
      </c>
      <c r="B40" s="1">
        <v>1</v>
      </c>
      <c r="C40" s="1">
        <v>0</v>
      </c>
      <c r="D40" s="1">
        <v>0</v>
      </c>
      <c r="E40" s="1">
        <f t="shared" si="14"/>
        <v>0</v>
      </c>
      <c r="F40" s="1">
        <f t="shared" si="15"/>
        <v>0</v>
      </c>
      <c r="G40" s="2">
        <f t="shared" si="16"/>
        <v>0</v>
      </c>
      <c r="H40" s="2">
        <f t="shared" si="17"/>
        <v>0</v>
      </c>
      <c r="I40" s="2">
        <f t="shared" si="18"/>
        <v>0</v>
      </c>
      <c r="J40" s="2">
        <f t="shared" si="19"/>
        <v>0</v>
      </c>
      <c r="K40" s="1">
        <f t="shared" si="20"/>
        <v>0</v>
      </c>
      <c r="L40" s="1">
        <f t="shared" si="21"/>
        <v>0</v>
      </c>
      <c r="N40" s="3">
        <f t="shared" si="22"/>
        <v>95.396216644069014</v>
      </c>
      <c r="O40" s="3">
        <f t="shared" si="12"/>
        <v>0</v>
      </c>
      <c r="P40" s="1">
        <f t="shared" si="23"/>
        <v>0.2</v>
      </c>
    </row>
    <row r="41" spans="1:16" x14ac:dyDescent="0.2">
      <c r="A41" s="1">
        <f t="shared" si="13"/>
        <v>36</v>
      </c>
      <c r="B41" s="1">
        <v>1</v>
      </c>
      <c r="C41" s="1">
        <v>0</v>
      </c>
      <c r="D41" s="1">
        <v>0</v>
      </c>
      <c r="E41" s="1">
        <f t="shared" si="14"/>
        <v>0</v>
      </c>
      <c r="F41" s="1">
        <f t="shared" si="15"/>
        <v>0</v>
      </c>
      <c r="G41" s="2">
        <f t="shared" si="16"/>
        <v>0</v>
      </c>
      <c r="H41" s="2">
        <f t="shared" si="17"/>
        <v>0</v>
      </c>
      <c r="I41" s="2">
        <f t="shared" si="18"/>
        <v>0</v>
      </c>
      <c r="J41" s="2">
        <f t="shared" si="19"/>
        <v>0</v>
      </c>
      <c r="K41" s="1">
        <f t="shared" si="20"/>
        <v>0</v>
      </c>
      <c r="L41" s="1">
        <f t="shared" si="21"/>
        <v>0</v>
      </c>
      <c r="N41" s="3">
        <f t="shared" si="22"/>
        <v>95.396216644069014</v>
      </c>
      <c r="O41" s="3">
        <f t="shared" si="12"/>
        <v>0</v>
      </c>
      <c r="P41" s="1">
        <f t="shared" si="23"/>
        <v>0.2</v>
      </c>
    </row>
    <row r="42" spans="1:16" x14ac:dyDescent="0.2">
      <c r="A42" s="1">
        <f t="shared" si="13"/>
        <v>37</v>
      </c>
      <c r="B42" s="1">
        <v>1</v>
      </c>
      <c r="C42" s="1">
        <v>0</v>
      </c>
      <c r="D42" s="1">
        <v>1</v>
      </c>
      <c r="E42" s="1">
        <f t="shared" si="14"/>
        <v>0</v>
      </c>
      <c r="F42" s="1">
        <f t="shared" si="15"/>
        <v>0</v>
      </c>
      <c r="G42" s="2">
        <f t="shared" si="16"/>
        <v>0</v>
      </c>
      <c r="H42" s="2">
        <f t="shared" si="17"/>
        <v>0</v>
      </c>
      <c r="I42" s="2">
        <f t="shared" si="18"/>
        <v>0</v>
      </c>
      <c r="J42" s="2">
        <f t="shared" si="19"/>
        <v>0</v>
      </c>
      <c r="K42" s="1">
        <f t="shared" si="20"/>
        <v>0</v>
      </c>
      <c r="L42" s="1">
        <f t="shared" si="21"/>
        <v>0</v>
      </c>
      <c r="N42" s="3">
        <f t="shared" si="22"/>
        <v>95.396216644069014</v>
      </c>
      <c r="O42" s="3">
        <f t="shared" si="12"/>
        <v>0</v>
      </c>
      <c r="P42" s="1">
        <f t="shared" si="23"/>
        <v>0.2</v>
      </c>
    </row>
    <row r="43" spans="1:16" x14ac:dyDescent="0.2">
      <c r="A43" s="1">
        <f t="shared" si="13"/>
        <v>38</v>
      </c>
      <c r="B43" s="1">
        <v>1</v>
      </c>
      <c r="C43" s="1">
        <v>0</v>
      </c>
      <c r="D43" s="1">
        <v>1</v>
      </c>
      <c r="E43" s="1">
        <f t="shared" si="14"/>
        <v>0</v>
      </c>
      <c r="F43" s="1">
        <f t="shared" si="15"/>
        <v>1</v>
      </c>
      <c r="G43" s="2">
        <f t="shared" si="16"/>
        <v>0</v>
      </c>
      <c r="H43" s="2">
        <f t="shared" si="17"/>
        <v>0</v>
      </c>
      <c r="I43" s="2">
        <f t="shared" si="18"/>
        <v>0</v>
      </c>
      <c r="J43" s="2">
        <f t="shared" si="19"/>
        <v>0</v>
      </c>
      <c r="K43" s="1">
        <f t="shared" si="20"/>
        <v>0</v>
      </c>
      <c r="L43" s="1">
        <f t="shared" si="21"/>
        <v>0</v>
      </c>
      <c r="N43" s="3">
        <f t="shared" si="22"/>
        <v>95.396216644069014</v>
      </c>
      <c r="O43" s="3">
        <f t="shared" si="12"/>
        <v>0</v>
      </c>
      <c r="P43" s="1">
        <f t="shared" si="23"/>
        <v>0.2</v>
      </c>
    </row>
    <row r="44" spans="1:16" x14ac:dyDescent="0.2">
      <c r="A44" s="1">
        <f t="shared" si="13"/>
        <v>39</v>
      </c>
      <c r="B44" s="1">
        <v>1</v>
      </c>
      <c r="C44" s="1">
        <v>0</v>
      </c>
      <c r="D44" s="1">
        <v>1</v>
      </c>
      <c r="E44" s="1">
        <f t="shared" si="14"/>
        <v>0</v>
      </c>
      <c r="F44" s="1">
        <f t="shared" si="15"/>
        <v>1</v>
      </c>
      <c r="G44" s="2">
        <f t="shared" si="16"/>
        <v>0</v>
      </c>
      <c r="H44" s="2">
        <f t="shared" si="17"/>
        <v>1</v>
      </c>
      <c r="I44" s="2">
        <f t="shared" si="18"/>
        <v>0</v>
      </c>
      <c r="J44" s="2">
        <f t="shared" si="19"/>
        <v>0</v>
      </c>
      <c r="K44" s="1">
        <f t="shared" si="20"/>
        <v>0</v>
      </c>
      <c r="L44" s="1">
        <f t="shared" si="21"/>
        <v>0</v>
      </c>
      <c r="N44" s="3">
        <f t="shared" si="22"/>
        <v>95.396216644069014</v>
      </c>
      <c r="O44" s="3">
        <f t="shared" si="12"/>
        <v>0</v>
      </c>
      <c r="P44" s="1">
        <f t="shared" si="23"/>
        <v>0.2</v>
      </c>
    </row>
    <row r="45" spans="1:16" x14ac:dyDescent="0.2">
      <c r="A45" s="1">
        <f t="shared" si="13"/>
        <v>40</v>
      </c>
      <c r="B45" s="1">
        <v>1</v>
      </c>
      <c r="C45" s="1">
        <v>1</v>
      </c>
      <c r="D45" s="1">
        <v>1</v>
      </c>
      <c r="E45" s="1">
        <f t="shared" si="14"/>
        <v>0</v>
      </c>
      <c r="F45" s="1">
        <f t="shared" si="15"/>
        <v>1</v>
      </c>
      <c r="G45" s="2">
        <f t="shared" si="16"/>
        <v>0</v>
      </c>
      <c r="H45" s="2">
        <f t="shared" si="17"/>
        <v>1</v>
      </c>
      <c r="I45" s="2">
        <f t="shared" si="18"/>
        <v>0</v>
      </c>
      <c r="J45" s="2">
        <f t="shared" si="19"/>
        <v>1</v>
      </c>
      <c r="K45" s="1">
        <f t="shared" si="20"/>
        <v>0</v>
      </c>
      <c r="L45" s="1">
        <f t="shared" si="21"/>
        <v>0</v>
      </c>
      <c r="N45" s="3">
        <f t="shared" si="22"/>
        <v>95.396216644069014</v>
      </c>
      <c r="O45" s="3">
        <f t="shared" si="12"/>
        <v>0</v>
      </c>
      <c r="P45" s="1">
        <f t="shared" si="23"/>
        <v>0.2</v>
      </c>
    </row>
    <row r="46" spans="1:16" x14ac:dyDescent="0.2">
      <c r="A46" s="1">
        <f t="shared" si="13"/>
        <v>41</v>
      </c>
      <c r="B46" s="1">
        <v>1</v>
      </c>
      <c r="C46" s="1">
        <v>1</v>
      </c>
      <c r="D46" s="1">
        <v>1</v>
      </c>
      <c r="E46" s="1">
        <f t="shared" si="14"/>
        <v>1</v>
      </c>
      <c r="F46" s="1">
        <f t="shared" si="15"/>
        <v>1</v>
      </c>
      <c r="G46" s="2">
        <f t="shared" si="16"/>
        <v>0</v>
      </c>
      <c r="H46" s="2">
        <f t="shared" si="17"/>
        <v>1</v>
      </c>
      <c r="I46" s="2">
        <f t="shared" si="18"/>
        <v>0</v>
      </c>
      <c r="J46" s="2">
        <f t="shared" si="19"/>
        <v>1</v>
      </c>
      <c r="K46" s="1">
        <f t="shared" si="20"/>
        <v>0</v>
      </c>
      <c r="L46" s="1">
        <f t="shared" si="21"/>
        <v>1</v>
      </c>
      <c r="N46" s="3">
        <f t="shared" si="22"/>
        <v>95.396216644069014</v>
      </c>
      <c r="O46" s="3">
        <f t="shared" si="12"/>
        <v>19.079243328813803</v>
      </c>
      <c r="P46" s="1">
        <f t="shared" si="23"/>
        <v>0.2</v>
      </c>
    </row>
    <row r="47" spans="1:16" x14ac:dyDescent="0.2">
      <c r="A47" s="1">
        <f t="shared" si="13"/>
        <v>42</v>
      </c>
      <c r="B47" s="1">
        <v>1</v>
      </c>
      <c r="C47" s="1">
        <v>1</v>
      </c>
      <c r="D47" s="1">
        <v>1</v>
      </c>
      <c r="E47" s="1">
        <f t="shared" si="14"/>
        <v>1</v>
      </c>
      <c r="F47" s="1">
        <f t="shared" si="15"/>
        <v>1</v>
      </c>
      <c r="G47" s="2">
        <f t="shared" si="16"/>
        <v>1</v>
      </c>
      <c r="H47" s="2">
        <f t="shared" si="17"/>
        <v>0</v>
      </c>
      <c r="I47" s="2">
        <f t="shared" si="18"/>
        <v>0</v>
      </c>
      <c r="J47" s="2">
        <f t="shared" si="19"/>
        <v>1</v>
      </c>
      <c r="K47" s="1">
        <f t="shared" si="20"/>
        <v>0</v>
      </c>
      <c r="L47" s="1">
        <f t="shared" si="21"/>
        <v>1</v>
      </c>
      <c r="N47" s="3">
        <f t="shared" si="22"/>
        <v>114.47545997288282</v>
      </c>
      <c r="O47" s="3">
        <f t="shared" si="12"/>
        <v>22.895091994576564</v>
      </c>
      <c r="P47" s="1">
        <f t="shared" si="23"/>
        <v>0.2</v>
      </c>
    </row>
    <row r="48" spans="1:16" x14ac:dyDescent="0.2">
      <c r="A48" s="1">
        <f t="shared" si="13"/>
        <v>43</v>
      </c>
      <c r="B48" s="1">
        <v>1</v>
      </c>
      <c r="C48" s="1">
        <v>0</v>
      </c>
      <c r="D48" s="1">
        <v>1</v>
      </c>
      <c r="E48" s="1">
        <f t="shared" si="14"/>
        <v>1</v>
      </c>
      <c r="F48" s="1">
        <f t="shared" si="15"/>
        <v>1</v>
      </c>
      <c r="G48" s="2">
        <f t="shared" si="16"/>
        <v>1</v>
      </c>
      <c r="H48" s="2">
        <f t="shared" si="17"/>
        <v>0</v>
      </c>
      <c r="I48" s="2">
        <f t="shared" si="18"/>
        <v>1</v>
      </c>
      <c r="J48" s="2">
        <f t="shared" si="19"/>
        <v>0</v>
      </c>
      <c r="K48" s="1">
        <f t="shared" si="20"/>
        <v>0</v>
      </c>
      <c r="L48" s="1">
        <f t="shared" si="21"/>
        <v>1</v>
      </c>
      <c r="N48" s="3">
        <f t="shared" si="22"/>
        <v>137.37055196745939</v>
      </c>
      <c r="O48" s="3">
        <f t="shared" si="12"/>
        <v>27.47411039349188</v>
      </c>
      <c r="P48" s="1">
        <f t="shared" si="23"/>
        <v>0.2</v>
      </c>
    </row>
    <row r="49" spans="1:16" x14ac:dyDescent="0.2">
      <c r="A49" s="1">
        <f t="shared" si="13"/>
        <v>44</v>
      </c>
      <c r="B49" s="1">
        <v>1</v>
      </c>
      <c r="C49" s="1">
        <v>0</v>
      </c>
      <c r="D49" s="1">
        <v>1</v>
      </c>
      <c r="E49" s="1">
        <f t="shared" si="14"/>
        <v>0</v>
      </c>
      <c r="F49" s="1">
        <f t="shared" si="15"/>
        <v>1</v>
      </c>
      <c r="G49" s="2">
        <f t="shared" si="16"/>
        <v>1</v>
      </c>
      <c r="H49" s="2">
        <f t="shared" si="17"/>
        <v>0</v>
      </c>
      <c r="I49" s="2">
        <f t="shared" si="18"/>
        <v>1</v>
      </c>
      <c r="J49" s="2">
        <f t="shared" si="19"/>
        <v>0</v>
      </c>
      <c r="K49" s="1">
        <f t="shared" si="20"/>
        <v>0</v>
      </c>
      <c r="L49" s="1">
        <f t="shared" si="21"/>
        <v>0</v>
      </c>
      <c r="N49" s="3">
        <f t="shared" si="22"/>
        <v>164.84466236095128</v>
      </c>
      <c r="O49" s="3">
        <f t="shared" si="12"/>
        <v>0</v>
      </c>
      <c r="P49" s="1">
        <f t="shared" si="23"/>
        <v>0.2</v>
      </c>
    </row>
    <row r="50" spans="1:16" x14ac:dyDescent="0.2">
      <c r="A50" s="1">
        <f t="shared" si="13"/>
        <v>45</v>
      </c>
      <c r="B50" s="1">
        <v>1</v>
      </c>
      <c r="C50" s="1">
        <v>0</v>
      </c>
      <c r="D50" s="1">
        <v>1</v>
      </c>
      <c r="E50" s="1">
        <f t="shared" si="14"/>
        <v>0</v>
      </c>
      <c r="F50" s="1">
        <f t="shared" si="15"/>
        <v>1</v>
      </c>
      <c r="G50" s="2">
        <f t="shared" si="16"/>
        <v>0</v>
      </c>
      <c r="H50" s="2">
        <f t="shared" si="17"/>
        <v>1</v>
      </c>
      <c r="I50" s="2">
        <f t="shared" si="18"/>
        <v>1</v>
      </c>
      <c r="J50" s="2">
        <f t="shared" si="19"/>
        <v>0</v>
      </c>
      <c r="K50" s="1">
        <f t="shared" si="20"/>
        <v>0</v>
      </c>
      <c r="L50" s="1">
        <f t="shared" si="21"/>
        <v>0</v>
      </c>
      <c r="N50" s="3">
        <f t="shared" si="22"/>
        <v>164.84466236095128</v>
      </c>
      <c r="O50" s="3">
        <f t="shared" si="12"/>
        <v>0</v>
      </c>
      <c r="P50" s="1">
        <f t="shared" si="23"/>
        <v>0.2</v>
      </c>
    </row>
    <row r="51" spans="1:16" x14ac:dyDescent="0.2">
      <c r="A51" s="1">
        <f t="shared" si="13"/>
        <v>46</v>
      </c>
      <c r="B51" s="1">
        <v>1</v>
      </c>
      <c r="C51" s="1">
        <v>0</v>
      </c>
      <c r="D51" s="1">
        <v>1</v>
      </c>
      <c r="E51" s="1">
        <f t="shared" si="14"/>
        <v>0</v>
      </c>
      <c r="F51" s="1">
        <f t="shared" si="15"/>
        <v>1</v>
      </c>
      <c r="G51" s="2">
        <f t="shared" si="16"/>
        <v>0</v>
      </c>
      <c r="H51" s="2">
        <f t="shared" si="17"/>
        <v>1</v>
      </c>
      <c r="I51" s="2">
        <f t="shared" si="18"/>
        <v>0</v>
      </c>
      <c r="J51" s="2">
        <f t="shared" si="19"/>
        <v>1</v>
      </c>
      <c r="K51" s="1">
        <f t="shared" si="20"/>
        <v>0</v>
      </c>
      <c r="L51" s="1">
        <f t="shared" si="21"/>
        <v>0</v>
      </c>
      <c r="N51" s="3">
        <f t="shared" si="22"/>
        <v>164.84466236095128</v>
      </c>
      <c r="O51" s="3">
        <f t="shared" si="12"/>
        <v>0</v>
      </c>
      <c r="P51" s="1">
        <f t="shared" si="23"/>
        <v>0.2</v>
      </c>
    </row>
    <row r="52" spans="1:16" x14ac:dyDescent="0.2">
      <c r="A52" s="1">
        <f t="shared" si="13"/>
        <v>47</v>
      </c>
      <c r="B52" s="1">
        <v>1</v>
      </c>
      <c r="C52" s="1">
        <v>0</v>
      </c>
      <c r="D52" s="1">
        <v>1</v>
      </c>
      <c r="E52" s="1">
        <f t="shared" si="14"/>
        <v>0</v>
      </c>
      <c r="F52" s="1">
        <f t="shared" si="15"/>
        <v>1</v>
      </c>
      <c r="G52" s="2">
        <f t="shared" si="16"/>
        <v>0</v>
      </c>
      <c r="H52" s="2">
        <f t="shared" si="17"/>
        <v>1</v>
      </c>
      <c r="I52" s="2">
        <f t="shared" si="18"/>
        <v>0</v>
      </c>
      <c r="J52" s="2">
        <f t="shared" si="19"/>
        <v>1</v>
      </c>
      <c r="K52" s="1">
        <f t="shared" si="20"/>
        <v>0</v>
      </c>
      <c r="L52" s="1">
        <f t="shared" si="21"/>
        <v>1</v>
      </c>
      <c r="N52" s="3">
        <f t="shared" si="22"/>
        <v>164.84466236095128</v>
      </c>
      <c r="O52" s="3">
        <f t="shared" si="12"/>
        <v>32.968932472190254</v>
      </c>
      <c r="P52" s="1">
        <f t="shared" si="23"/>
        <v>0.2</v>
      </c>
    </row>
    <row r="53" spans="1:16" x14ac:dyDescent="0.2">
      <c r="A53" s="1">
        <f t="shared" si="13"/>
        <v>48</v>
      </c>
      <c r="B53" s="1">
        <v>1</v>
      </c>
      <c r="C53" s="1">
        <v>1</v>
      </c>
      <c r="D53" s="1">
        <v>1</v>
      </c>
      <c r="E53" s="1">
        <f t="shared" si="14"/>
        <v>0</v>
      </c>
      <c r="F53" s="1">
        <f t="shared" si="15"/>
        <v>1</v>
      </c>
      <c r="G53" s="2">
        <f t="shared" si="16"/>
        <v>0</v>
      </c>
      <c r="H53" s="2">
        <f t="shared" si="17"/>
        <v>1</v>
      </c>
      <c r="I53" s="2">
        <f t="shared" si="18"/>
        <v>0</v>
      </c>
      <c r="J53" s="2">
        <f t="shared" si="19"/>
        <v>1</v>
      </c>
      <c r="K53" s="1">
        <f t="shared" si="20"/>
        <v>0</v>
      </c>
      <c r="L53" s="1">
        <f t="shared" si="21"/>
        <v>1</v>
      </c>
      <c r="N53" s="3">
        <f t="shared" si="22"/>
        <v>197.81359483314154</v>
      </c>
      <c r="O53" s="3">
        <f t="shared" si="12"/>
        <v>39.56271896662831</v>
      </c>
      <c r="P53" s="1">
        <f t="shared" si="23"/>
        <v>0.2</v>
      </c>
    </row>
    <row r="54" spans="1:16" x14ac:dyDescent="0.2">
      <c r="A54" s="1">
        <f t="shared" si="13"/>
        <v>49</v>
      </c>
      <c r="B54" s="1">
        <v>1</v>
      </c>
      <c r="C54" s="1">
        <v>1</v>
      </c>
      <c r="D54" s="1">
        <v>1</v>
      </c>
      <c r="E54" s="1">
        <f t="shared" si="14"/>
        <v>1</v>
      </c>
      <c r="F54" s="1">
        <f t="shared" si="15"/>
        <v>1</v>
      </c>
      <c r="G54" s="2">
        <f t="shared" si="16"/>
        <v>0</v>
      </c>
      <c r="H54" s="2">
        <f t="shared" si="17"/>
        <v>1</v>
      </c>
      <c r="I54" s="2">
        <f t="shared" si="18"/>
        <v>0</v>
      </c>
      <c r="J54" s="2">
        <f t="shared" si="19"/>
        <v>1</v>
      </c>
      <c r="K54" s="1">
        <f t="shared" si="20"/>
        <v>0</v>
      </c>
      <c r="L54" s="1">
        <f t="shared" si="21"/>
        <v>1</v>
      </c>
      <c r="N54" s="3">
        <f t="shared" si="22"/>
        <v>237.37631379976983</v>
      </c>
      <c r="O54" s="3">
        <f t="shared" si="12"/>
        <v>47.475262759953971</v>
      </c>
      <c r="P54" s="1">
        <f t="shared" si="23"/>
        <v>0.2</v>
      </c>
    </row>
    <row r="55" spans="1:16" x14ac:dyDescent="0.2">
      <c r="A55" s="1">
        <f t="shared" si="13"/>
        <v>50</v>
      </c>
      <c r="B55" s="1">
        <v>1</v>
      </c>
      <c r="C55" s="1">
        <v>1</v>
      </c>
      <c r="D55" s="1">
        <v>0</v>
      </c>
      <c r="E55" s="1">
        <f t="shared" si="14"/>
        <v>1</v>
      </c>
      <c r="F55" s="1">
        <f t="shared" si="15"/>
        <v>1</v>
      </c>
      <c r="G55" s="2">
        <f t="shared" si="16"/>
        <v>1</v>
      </c>
      <c r="H55" s="2">
        <f t="shared" si="17"/>
        <v>0</v>
      </c>
      <c r="I55" s="2">
        <f t="shared" si="18"/>
        <v>0</v>
      </c>
      <c r="J55" s="2">
        <f t="shared" si="19"/>
        <v>1</v>
      </c>
      <c r="K55" s="1">
        <f t="shared" si="20"/>
        <v>0</v>
      </c>
      <c r="L55" s="1">
        <f t="shared" si="21"/>
        <v>1</v>
      </c>
      <c r="N55" s="3">
        <f t="shared" si="22"/>
        <v>284.85157655972381</v>
      </c>
      <c r="O55" s="3">
        <f t="shared" si="12"/>
        <v>56.970315311944766</v>
      </c>
      <c r="P55" s="1">
        <f t="shared" si="23"/>
        <v>0.2</v>
      </c>
    </row>
    <row r="56" spans="1:16" x14ac:dyDescent="0.2">
      <c r="A56" s="1">
        <f t="shared" si="13"/>
        <v>51</v>
      </c>
      <c r="B56" s="1">
        <v>1</v>
      </c>
      <c r="C56" s="1">
        <v>1</v>
      </c>
      <c r="D56" s="1">
        <v>0</v>
      </c>
      <c r="E56" s="1">
        <f t="shared" si="14"/>
        <v>1</v>
      </c>
      <c r="F56" s="1">
        <f t="shared" si="15"/>
        <v>0</v>
      </c>
      <c r="G56" s="2">
        <f t="shared" si="16"/>
        <v>1</v>
      </c>
      <c r="H56" s="2">
        <f t="shared" si="17"/>
        <v>0</v>
      </c>
      <c r="I56" s="2">
        <f t="shared" si="18"/>
        <v>1</v>
      </c>
      <c r="J56" s="2">
        <f t="shared" si="19"/>
        <v>0</v>
      </c>
      <c r="K56" s="1">
        <f t="shared" si="20"/>
        <v>0</v>
      </c>
      <c r="L56" s="1">
        <f t="shared" si="21"/>
        <v>0</v>
      </c>
      <c r="N56" s="3">
        <f t="shared" si="22"/>
        <v>341.82189187166858</v>
      </c>
      <c r="O56" s="3">
        <f t="shared" si="12"/>
        <v>0</v>
      </c>
      <c r="P56" s="1">
        <f t="shared" si="23"/>
        <v>0.2</v>
      </c>
    </row>
    <row r="57" spans="1:16" x14ac:dyDescent="0.2">
      <c r="A57" s="1">
        <f t="shared" si="13"/>
        <v>52</v>
      </c>
      <c r="B57" s="1">
        <v>1</v>
      </c>
      <c r="C57" s="1">
        <v>1</v>
      </c>
      <c r="D57" s="1">
        <v>0</v>
      </c>
      <c r="E57" s="1">
        <f t="shared" si="14"/>
        <v>1</v>
      </c>
      <c r="F57" s="1">
        <f t="shared" si="15"/>
        <v>0</v>
      </c>
      <c r="G57" s="2">
        <f t="shared" si="16"/>
        <v>1</v>
      </c>
      <c r="H57" s="2">
        <f t="shared" si="17"/>
        <v>0</v>
      </c>
      <c r="I57" s="2">
        <f t="shared" si="18"/>
        <v>1</v>
      </c>
      <c r="J57" s="2">
        <f t="shared" si="19"/>
        <v>0</v>
      </c>
      <c r="K57" s="1">
        <f t="shared" si="20"/>
        <v>1</v>
      </c>
      <c r="L57" s="1">
        <f t="shared" si="21"/>
        <v>0</v>
      </c>
      <c r="N57" s="3">
        <f t="shared" si="22"/>
        <v>341.82189187166858</v>
      </c>
      <c r="O57" s="3">
        <f t="shared" si="12"/>
        <v>68.364378374333725</v>
      </c>
      <c r="P57" s="1">
        <f t="shared" si="23"/>
        <v>0.2</v>
      </c>
    </row>
    <row r="58" spans="1:16" x14ac:dyDescent="0.2">
      <c r="A58" s="1">
        <f t="shared" si="13"/>
        <v>53</v>
      </c>
      <c r="B58" s="1">
        <v>1</v>
      </c>
      <c r="C58" s="1">
        <v>1</v>
      </c>
      <c r="D58" s="1">
        <v>0</v>
      </c>
      <c r="E58" s="1">
        <f t="shared" si="14"/>
        <v>1</v>
      </c>
      <c r="F58" s="1">
        <f t="shared" si="15"/>
        <v>0</v>
      </c>
      <c r="G58" s="2">
        <f t="shared" si="16"/>
        <v>1</v>
      </c>
      <c r="H58" s="2">
        <f t="shared" si="17"/>
        <v>0</v>
      </c>
      <c r="I58" s="2">
        <f t="shared" si="18"/>
        <v>1</v>
      </c>
      <c r="J58" s="2">
        <f t="shared" si="19"/>
        <v>0</v>
      </c>
      <c r="K58" s="1">
        <f t="shared" si="20"/>
        <v>1</v>
      </c>
      <c r="L58" s="1">
        <f t="shared" si="21"/>
        <v>0</v>
      </c>
      <c r="N58" s="3">
        <f t="shared" si="22"/>
        <v>410.18627024600232</v>
      </c>
      <c r="O58" s="3">
        <f t="shared" si="12"/>
        <v>82.03725404920047</v>
      </c>
      <c r="P58" s="1">
        <f t="shared" si="23"/>
        <v>0.2</v>
      </c>
    </row>
    <row r="59" spans="1:16" x14ac:dyDescent="0.2">
      <c r="A59" s="1">
        <f t="shared" si="13"/>
        <v>54</v>
      </c>
      <c r="B59" s="1">
        <v>1</v>
      </c>
      <c r="C59" s="1">
        <v>1</v>
      </c>
      <c r="D59" s="1">
        <v>0</v>
      </c>
      <c r="E59" s="1">
        <f t="shared" si="14"/>
        <v>1</v>
      </c>
      <c r="F59" s="1">
        <f t="shared" si="15"/>
        <v>0</v>
      </c>
      <c r="G59" s="2">
        <f t="shared" si="16"/>
        <v>1</v>
      </c>
      <c r="H59" s="2">
        <f t="shared" si="17"/>
        <v>0</v>
      </c>
      <c r="I59" s="2">
        <f t="shared" si="18"/>
        <v>1</v>
      </c>
      <c r="J59" s="2">
        <f t="shared" si="19"/>
        <v>0</v>
      </c>
      <c r="K59" s="1">
        <f t="shared" si="20"/>
        <v>1</v>
      </c>
      <c r="L59" s="1">
        <f t="shared" si="21"/>
        <v>0</v>
      </c>
      <c r="N59" s="3">
        <f t="shared" si="22"/>
        <v>492.22352429520276</v>
      </c>
      <c r="O59" s="3">
        <f t="shared" si="12"/>
        <v>98.444704859040556</v>
      </c>
      <c r="P59" s="1">
        <f t="shared" si="23"/>
        <v>0.2</v>
      </c>
    </row>
    <row r="60" spans="1:16" x14ac:dyDescent="0.2">
      <c r="A60" s="1">
        <f t="shared" si="13"/>
        <v>55</v>
      </c>
      <c r="B60" s="1">
        <v>1</v>
      </c>
      <c r="C60" s="1">
        <v>1</v>
      </c>
      <c r="D60" s="1">
        <v>0</v>
      </c>
      <c r="E60" s="1">
        <f t="shared" si="14"/>
        <v>1</v>
      </c>
      <c r="F60" s="1">
        <f t="shared" si="15"/>
        <v>0</v>
      </c>
      <c r="G60" s="2">
        <f t="shared" si="16"/>
        <v>1</v>
      </c>
      <c r="H60" s="2">
        <f t="shared" si="17"/>
        <v>0</v>
      </c>
      <c r="I60" s="2">
        <f t="shared" si="18"/>
        <v>1</v>
      </c>
      <c r="J60" s="2">
        <f t="shared" si="19"/>
        <v>0</v>
      </c>
      <c r="K60" s="1">
        <f t="shared" si="20"/>
        <v>1</v>
      </c>
      <c r="L60" s="1">
        <f t="shared" si="21"/>
        <v>0</v>
      </c>
      <c r="N60" s="3">
        <f t="shared" si="22"/>
        <v>590.66822915424336</v>
      </c>
      <c r="O60" s="3">
        <f t="shared" si="12"/>
        <v>118.13364583084868</v>
      </c>
      <c r="P60" s="1">
        <f t="shared" si="23"/>
        <v>0.2</v>
      </c>
    </row>
    <row r="61" spans="1:16" x14ac:dyDescent="0.2">
      <c r="A61" s="1">
        <f t="shared" si="13"/>
        <v>56</v>
      </c>
      <c r="B61" s="1">
        <v>1</v>
      </c>
      <c r="C61" s="1">
        <v>1</v>
      </c>
      <c r="D61" s="1">
        <v>0</v>
      </c>
      <c r="E61" s="1">
        <f t="shared" si="14"/>
        <v>1</v>
      </c>
      <c r="F61" s="1">
        <f t="shared" si="15"/>
        <v>0</v>
      </c>
      <c r="G61" s="2">
        <f t="shared" si="16"/>
        <v>1</v>
      </c>
      <c r="H61" s="2">
        <f t="shared" si="17"/>
        <v>0</v>
      </c>
      <c r="I61" s="2">
        <f t="shared" si="18"/>
        <v>1</v>
      </c>
      <c r="J61" s="2">
        <f t="shared" si="19"/>
        <v>0</v>
      </c>
      <c r="K61" s="1">
        <f t="shared" si="20"/>
        <v>1</v>
      </c>
      <c r="L61" s="1">
        <f t="shared" si="21"/>
        <v>0</v>
      </c>
      <c r="N61" s="3">
        <f t="shared" si="22"/>
        <v>708.80187498509201</v>
      </c>
      <c r="O61" s="3">
        <f t="shared" si="12"/>
        <v>141.7603749970184</v>
      </c>
      <c r="P61" s="1">
        <f t="shared" si="23"/>
        <v>0.2</v>
      </c>
    </row>
    <row r="62" spans="1:16" x14ac:dyDescent="0.2">
      <c r="A62" s="1">
        <f t="shared" si="13"/>
        <v>57</v>
      </c>
      <c r="B62" s="1">
        <v>1</v>
      </c>
      <c r="C62" s="1">
        <v>1</v>
      </c>
      <c r="D62" s="1">
        <v>0</v>
      </c>
      <c r="E62" s="1">
        <f t="shared" si="14"/>
        <v>1</v>
      </c>
      <c r="F62" s="1">
        <f t="shared" si="15"/>
        <v>0</v>
      </c>
      <c r="G62" s="2">
        <f t="shared" si="16"/>
        <v>1</v>
      </c>
      <c r="H62" s="2">
        <f t="shared" si="17"/>
        <v>0</v>
      </c>
      <c r="I62" s="2">
        <f t="shared" si="18"/>
        <v>1</v>
      </c>
      <c r="J62" s="2">
        <f t="shared" si="19"/>
        <v>0</v>
      </c>
      <c r="K62" s="1">
        <f t="shared" si="20"/>
        <v>1</v>
      </c>
      <c r="L62" s="1">
        <f t="shared" si="21"/>
        <v>0</v>
      </c>
      <c r="N62" s="3">
        <f t="shared" si="22"/>
        <v>850.56224998211042</v>
      </c>
      <c r="O62" s="3">
        <f t="shared" si="12"/>
        <v>170.1124499964221</v>
      </c>
      <c r="P62" s="1">
        <f t="shared" si="23"/>
        <v>0.2</v>
      </c>
    </row>
    <row r="63" spans="1:16" x14ac:dyDescent="0.2">
      <c r="A63" s="1">
        <f t="shared" si="13"/>
        <v>58</v>
      </c>
      <c r="B63" s="1">
        <v>1</v>
      </c>
      <c r="C63" s="1">
        <v>1</v>
      </c>
      <c r="D63" s="1">
        <v>0</v>
      </c>
      <c r="E63" s="1">
        <f t="shared" si="14"/>
        <v>1</v>
      </c>
      <c r="F63" s="1">
        <f t="shared" si="15"/>
        <v>0</v>
      </c>
      <c r="G63" s="2">
        <f t="shared" si="16"/>
        <v>1</v>
      </c>
      <c r="H63" s="2">
        <f t="shared" si="17"/>
        <v>0</v>
      </c>
      <c r="I63" s="2">
        <f t="shared" si="18"/>
        <v>1</v>
      </c>
      <c r="J63" s="2">
        <f t="shared" si="19"/>
        <v>0</v>
      </c>
      <c r="K63" s="1">
        <f t="shared" si="20"/>
        <v>1</v>
      </c>
      <c r="L63" s="1">
        <f t="shared" si="21"/>
        <v>0</v>
      </c>
      <c r="N63" s="3">
        <f t="shared" si="22"/>
        <v>1020.6746999785325</v>
      </c>
      <c r="O63" s="3">
        <f t="shared" si="12"/>
        <v>204.13493999570653</v>
      </c>
      <c r="P63" s="1">
        <f t="shared" si="23"/>
        <v>0.2</v>
      </c>
    </row>
    <row r="64" spans="1:16" x14ac:dyDescent="0.2">
      <c r="A64" s="1">
        <f t="shared" si="13"/>
        <v>59</v>
      </c>
      <c r="B64" s="1">
        <v>1</v>
      </c>
      <c r="C64" s="1">
        <v>1</v>
      </c>
      <c r="D64" s="1">
        <v>1</v>
      </c>
      <c r="E64" s="1">
        <f t="shared" si="14"/>
        <v>1</v>
      </c>
      <c r="F64" s="1">
        <f t="shared" si="15"/>
        <v>0</v>
      </c>
      <c r="G64" s="2">
        <f t="shared" si="16"/>
        <v>1</v>
      </c>
      <c r="H64" s="2">
        <f t="shared" si="17"/>
        <v>0</v>
      </c>
      <c r="I64" s="2">
        <f t="shared" si="18"/>
        <v>1</v>
      </c>
      <c r="J64" s="2">
        <f t="shared" si="19"/>
        <v>0</v>
      </c>
      <c r="K64" s="1">
        <f t="shared" si="20"/>
        <v>1</v>
      </c>
      <c r="L64" s="1">
        <f t="shared" si="21"/>
        <v>0</v>
      </c>
      <c r="N64" s="3">
        <f t="shared" si="22"/>
        <v>1224.809639974239</v>
      </c>
      <c r="O64" s="3">
        <f t="shared" si="12"/>
        <v>244.9619279948478</v>
      </c>
      <c r="P64" s="1">
        <f t="shared" si="23"/>
        <v>0.2</v>
      </c>
    </row>
    <row r="65" spans="1:16" x14ac:dyDescent="0.2">
      <c r="A65" s="1">
        <f t="shared" si="13"/>
        <v>60</v>
      </c>
      <c r="B65" s="1">
        <v>1</v>
      </c>
      <c r="C65" s="1">
        <v>1</v>
      </c>
      <c r="D65" s="1">
        <v>1</v>
      </c>
      <c r="E65" s="1">
        <f t="shared" si="14"/>
        <v>1</v>
      </c>
      <c r="F65" s="1">
        <f t="shared" si="15"/>
        <v>1</v>
      </c>
      <c r="G65" s="2">
        <f t="shared" si="16"/>
        <v>1</v>
      </c>
      <c r="H65" s="2">
        <f t="shared" si="17"/>
        <v>0</v>
      </c>
      <c r="I65" s="2">
        <f t="shared" si="18"/>
        <v>1</v>
      </c>
      <c r="J65" s="2">
        <f t="shared" si="19"/>
        <v>0</v>
      </c>
      <c r="K65" s="1">
        <f t="shared" si="20"/>
        <v>1</v>
      </c>
      <c r="L65" s="1">
        <f t="shared" si="21"/>
        <v>0</v>
      </c>
      <c r="N65" s="3">
        <f t="shared" si="22"/>
        <v>1469.7715679690868</v>
      </c>
      <c r="O65" s="3">
        <f t="shared" si="12"/>
        <v>293.9543135938174</v>
      </c>
      <c r="P65" s="1">
        <f t="shared" si="23"/>
        <v>0.2</v>
      </c>
    </row>
    <row r="66" spans="1:16" x14ac:dyDescent="0.2">
      <c r="G66" s="2"/>
      <c r="H66" s="2"/>
      <c r="I66" s="2"/>
      <c r="J66" s="2"/>
      <c r="N66" s="3"/>
      <c r="O66" s="3"/>
    </row>
    <row r="67" spans="1:16" x14ac:dyDescent="0.2">
      <c r="G67" s="2"/>
      <c r="H67" s="2"/>
      <c r="I67" s="2"/>
      <c r="J67" s="2"/>
      <c r="N67" s="3"/>
      <c r="O67" s="3"/>
    </row>
    <row r="68" spans="1:16" x14ac:dyDescent="0.2">
      <c r="G68" s="2"/>
      <c r="H68" s="2"/>
      <c r="I68" s="2"/>
      <c r="J68" s="2"/>
      <c r="N68" s="3"/>
      <c r="O68" s="3"/>
    </row>
    <row r="69" spans="1:16" x14ac:dyDescent="0.2">
      <c r="G69" s="2"/>
      <c r="H69" s="2"/>
      <c r="I69" s="2"/>
      <c r="J69" s="2"/>
      <c r="N69" s="3"/>
      <c r="O69" s="3"/>
    </row>
    <row r="70" spans="1:16" x14ac:dyDescent="0.2">
      <c r="G70" s="2"/>
      <c r="H70" s="2"/>
      <c r="I70" s="2"/>
      <c r="J70" s="2"/>
      <c r="N70" s="3"/>
      <c r="O70" s="3"/>
    </row>
    <row r="71" spans="1:16" x14ac:dyDescent="0.2">
      <c r="G71" s="2"/>
      <c r="H71" s="2"/>
      <c r="I71" s="2"/>
      <c r="J71" s="2"/>
      <c r="N71" s="3"/>
      <c r="O71" s="3"/>
    </row>
    <row r="72" spans="1:16" x14ac:dyDescent="0.2">
      <c r="G72" s="2"/>
      <c r="H72" s="2"/>
      <c r="I72" s="2"/>
      <c r="J72" s="2"/>
      <c r="N72" s="3"/>
      <c r="O72" s="3"/>
    </row>
    <row r="73" spans="1:16" x14ac:dyDescent="0.2">
      <c r="G73" s="2"/>
      <c r="H73" s="2"/>
      <c r="I73" s="2"/>
      <c r="J73" s="2"/>
      <c r="N73" s="3"/>
      <c r="O73" s="3"/>
    </row>
    <row r="74" spans="1:16" x14ac:dyDescent="0.2">
      <c r="G74" s="2"/>
      <c r="H74" s="2"/>
      <c r="I74" s="2"/>
      <c r="J74" s="2"/>
      <c r="N74" s="3"/>
      <c r="O74" s="3"/>
    </row>
    <row r="75" spans="1:16" x14ac:dyDescent="0.2">
      <c r="G75" s="2"/>
      <c r="H75" s="2"/>
      <c r="I75" s="2"/>
      <c r="J75" s="2"/>
      <c r="N75" s="3"/>
      <c r="O75" s="3"/>
    </row>
    <row r="76" spans="1:16" x14ac:dyDescent="0.2">
      <c r="G76" s="2"/>
      <c r="H76" s="2"/>
      <c r="I76" s="2"/>
      <c r="J76" s="2"/>
      <c r="N76" s="3"/>
      <c r="O76" s="3"/>
    </row>
    <row r="77" spans="1:16" x14ac:dyDescent="0.2">
      <c r="G77" s="2"/>
      <c r="H77" s="2"/>
      <c r="I77" s="2"/>
      <c r="J77" s="2"/>
      <c r="N77" s="3"/>
      <c r="O77" s="3"/>
    </row>
    <row r="78" spans="1:16" x14ac:dyDescent="0.2">
      <c r="G78" s="2"/>
      <c r="H78" s="2"/>
      <c r="I78" s="2"/>
      <c r="J78" s="2"/>
      <c r="N78" s="3"/>
      <c r="O78" s="3"/>
    </row>
    <row r="79" spans="1:16" x14ac:dyDescent="0.2">
      <c r="G79" s="2"/>
      <c r="H79" s="2"/>
      <c r="I79" s="2"/>
      <c r="J79" s="2"/>
      <c r="N79" s="3"/>
      <c r="O79" s="3"/>
    </row>
    <row r="80" spans="1:16" x14ac:dyDescent="0.2">
      <c r="G80" s="2"/>
      <c r="H80" s="2"/>
      <c r="I80" s="2"/>
      <c r="J80" s="2"/>
      <c r="N80" s="3"/>
      <c r="O80" s="3"/>
    </row>
    <row r="81" spans="7:15" x14ac:dyDescent="0.2">
      <c r="G81" s="2"/>
      <c r="H81" s="2"/>
      <c r="I81" s="2"/>
      <c r="J81" s="2"/>
      <c r="N81" s="3"/>
      <c r="O81" s="3"/>
    </row>
    <row r="82" spans="7:15" x14ac:dyDescent="0.2">
      <c r="G82" s="2"/>
      <c r="H82" s="2"/>
      <c r="I82" s="2"/>
      <c r="J82" s="2"/>
      <c r="N82" s="3"/>
      <c r="O82" s="3"/>
    </row>
    <row r="83" spans="7:15" x14ac:dyDescent="0.2">
      <c r="G83" s="2"/>
      <c r="H83" s="2"/>
      <c r="I83" s="2"/>
      <c r="J83" s="2"/>
      <c r="N83" s="3"/>
      <c r="O83" s="3"/>
    </row>
    <row r="84" spans="7:15" x14ac:dyDescent="0.2">
      <c r="G84" s="2"/>
      <c r="H84" s="2"/>
      <c r="I84" s="2"/>
      <c r="J84" s="2"/>
      <c r="N84" s="3"/>
      <c r="O84" s="3"/>
    </row>
    <row r="85" spans="7:15" x14ac:dyDescent="0.2">
      <c r="G85" s="2"/>
      <c r="H85" s="2"/>
      <c r="I85" s="2"/>
      <c r="J85" s="2"/>
      <c r="N85" s="3"/>
      <c r="O85" s="3"/>
    </row>
    <row r="86" spans="7:15" x14ac:dyDescent="0.2">
      <c r="G86" s="2"/>
      <c r="H86" s="2"/>
      <c r="I86" s="2"/>
      <c r="J86" s="2"/>
      <c r="N86" s="3"/>
      <c r="O86" s="3"/>
    </row>
    <row r="87" spans="7:15" x14ac:dyDescent="0.2">
      <c r="G87" s="2"/>
      <c r="H87" s="2"/>
      <c r="I87" s="2"/>
      <c r="J87" s="2"/>
      <c r="N87" s="3"/>
      <c r="O87" s="3"/>
    </row>
    <row r="88" spans="7:15" x14ac:dyDescent="0.2">
      <c r="G88" s="2"/>
      <c r="H88" s="2"/>
      <c r="I88" s="2"/>
      <c r="J88" s="2"/>
      <c r="N88" s="3"/>
      <c r="O88" s="3"/>
    </row>
    <row r="89" spans="7:15" x14ac:dyDescent="0.2">
      <c r="G89" s="2"/>
      <c r="H89" s="2"/>
      <c r="I89" s="2"/>
      <c r="J89" s="2"/>
      <c r="N89" s="3"/>
      <c r="O89" s="3"/>
    </row>
    <row r="90" spans="7:15" x14ac:dyDescent="0.2">
      <c r="G90" s="2"/>
      <c r="H90" s="2"/>
      <c r="I90" s="2"/>
      <c r="J90" s="2"/>
      <c r="N90" s="3"/>
      <c r="O90" s="3"/>
    </row>
    <row r="91" spans="7:15" x14ac:dyDescent="0.2">
      <c r="G91" s="2"/>
      <c r="H91" s="2"/>
      <c r="I91" s="2"/>
      <c r="J91" s="2"/>
      <c r="N91" s="3"/>
      <c r="O91" s="3"/>
    </row>
    <row r="92" spans="7:15" x14ac:dyDescent="0.2">
      <c r="G92" s="2"/>
      <c r="H92" s="2"/>
      <c r="I92" s="2"/>
      <c r="J92" s="2"/>
      <c r="N92" s="3"/>
      <c r="O92" s="3"/>
    </row>
    <row r="93" spans="7:15" x14ac:dyDescent="0.2">
      <c r="G93" s="2"/>
      <c r="H93" s="2"/>
      <c r="I93" s="2"/>
      <c r="J93" s="2"/>
      <c r="N93" s="3"/>
      <c r="O93" s="3"/>
    </row>
    <row r="94" spans="7:15" x14ac:dyDescent="0.2">
      <c r="G94" s="2"/>
      <c r="H94" s="2"/>
      <c r="I94" s="2"/>
      <c r="J94" s="2"/>
      <c r="N94" s="3"/>
      <c r="O94" s="3"/>
    </row>
    <row r="95" spans="7:15" x14ac:dyDescent="0.2">
      <c r="G95" s="2"/>
      <c r="H95" s="2"/>
      <c r="I95" s="2"/>
      <c r="J95" s="2"/>
      <c r="N95" s="3"/>
      <c r="O95" s="3"/>
    </row>
    <row r="96" spans="7:15" x14ac:dyDescent="0.2">
      <c r="G96" s="2"/>
      <c r="H96" s="2"/>
      <c r="I96" s="2"/>
      <c r="J96" s="2"/>
      <c r="N96" s="3"/>
      <c r="O96" s="3"/>
    </row>
    <row r="97" spans="7:15" x14ac:dyDescent="0.2">
      <c r="G97" s="2"/>
      <c r="H97" s="2"/>
      <c r="I97" s="2"/>
      <c r="J97" s="2"/>
      <c r="N97" s="3"/>
      <c r="O97" s="3"/>
    </row>
    <row r="98" spans="7:15" x14ac:dyDescent="0.2">
      <c r="G98" s="2"/>
      <c r="H98" s="2"/>
      <c r="I98" s="2"/>
      <c r="J98" s="2"/>
      <c r="N98" s="3"/>
      <c r="O98" s="3"/>
    </row>
    <row r="99" spans="7:15" x14ac:dyDescent="0.2">
      <c r="G99" s="2"/>
      <c r="H99" s="2"/>
      <c r="I99" s="2"/>
      <c r="J99" s="2"/>
      <c r="N99" s="3"/>
      <c r="O99" s="3"/>
    </row>
    <row r="100" spans="7:15" x14ac:dyDescent="0.2">
      <c r="G100" s="2"/>
      <c r="H100" s="2"/>
      <c r="I100" s="2"/>
      <c r="J100" s="2"/>
      <c r="N100" s="3"/>
      <c r="O100" s="3"/>
    </row>
    <row r="101" spans="7:15" x14ac:dyDescent="0.2">
      <c r="G101" s="2"/>
      <c r="H101" s="2"/>
      <c r="I101" s="2"/>
      <c r="J101" s="2"/>
      <c r="N101" s="3"/>
      <c r="O101" s="3"/>
    </row>
    <row r="102" spans="7:15" x14ac:dyDescent="0.2">
      <c r="G102" s="2"/>
      <c r="H102" s="2"/>
      <c r="I102" s="2"/>
      <c r="J102" s="2"/>
      <c r="N102" s="3"/>
      <c r="O102" s="3"/>
    </row>
    <row r="103" spans="7:15" x14ac:dyDescent="0.2">
      <c r="G103" s="2"/>
      <c r="H103" s="2"/>
      <c r="I103" s="2"/>
      <c r="J103" s="2"/>
      <c r="N103" s="3"/>
      <c r="O103" s="3"/>
    </row>
    <row r="104" spans="7:15" x14ac:dyDescent="0.2">
      <c r="G104" s="2"/>
      <c r="H104" s="2"/>
      <c r="I104" s="2"/>
      <c r="J104" s="2"/>
      <c r="N104" s="3"/>
      <c r="O104" s="3"/>
    </row>
    <row r="105" spans="7:15" x14ac:dyDescent="0.2">
      <c r="G105" s="2"/>
      <c r="H105" s="2"/>
      <c r="I105" s="2"/>
      <c r="J105" s="2"/>
      <c r="N105" s="3"/>
      <c r="O105" s="3"/>
    </row>
  </sheetData>
  <phoneticPr fontId="0" type="noConversion"/>
  <pageMargins left="0.75" right="0.75" top="0.69" bottom="0.72" header="0.5" footer="0.5"/>
  <pageSetup paperSize="9" scale="65" orientation="portrait" r:id="rId1"/>
  <headerFooter alignWithMargins="0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exercise a-b</vt:lpstr>
      <vt:lpstr>exercise c</vt:lpstr>
      <vt:lpstr>'exercise a-b'!Afdrukbereik</vt:lpstr>
      <vt:lpstr>'exercise c'!Afdrukbereik</vt:lpstr>
    </vt:vector>
  </TitlesOfParts>
  <Company>VU Amsterdam WI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Treur</dc:creator>
  <cp:lastModifiedBy>Michel Klein</cp:lastModifiedBy>
  <cp:lastPrinted>2007-07-27T12:31:14Z</cp:lastPrinted>
  <dcterms:created xsi:type="dcterms:W3CDTF">2007-07-27T05:30:46Z</dcterms:created>
  <dcterms:modified xsi:type="dcterms:W3CDTF">2022-02-14T14:19:19Z</dcterms:modified>
</cp:coreProperties>
</file>