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0410" windowHeight="6735"/>
  </bookViews>
  <sheets>
    <sheet name="Blad1" sheetId="1" r:id="rId1"/>
    <sheet name="Blad2" sheetId="2" r:id="rId2"/>
    <sheet name="Blad3" sheetId="3" r:id="rId3"/>
  </sheets>
  <definedNames>
    <definedName name="_xlnm.Print_Area" localSheetId="0">Blad1!$A$1:$M$59</definedName>
  </definedNames>
  <calcPr calcId="145621"/>
</workbook>
</file>

<file path=xl/calcChain.xml><?xml version="1.0" encoding="utf-8"?>
<calcChain xmlns="http://schemas.openxmlformats.org/spreadsheetml/2006/main">
  <c r="D3" i="1" l="1"/>
  <c r="E4" i="1" s="1"/>
  <c r="C4" i="1"/>
  <c r="C5" i="1" s="1"/>
  <c r="C6" i="1" s="1"/>
  <c r="C7" i="1" s="1"/>
  <c r="C8" i="1" s="1"/>
  <c r="F4" i="1"/>
  <c r="D4" i="1" s="1"/>
  <c r="E5" i="1" s="1"/>
  <c r="G4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G5" i="1" l="1"/>
  <c r="C9" i="1"/>
  <c r="F5" i="1"/>
  <c r="D5" i="1" l="1"/>
  <c r="E6" i="1" s="1"/>
  <c r="F6" i="1"/>
  <c r="G6" i="1"/>
  <c r="C10" i="1"/>
  <c r="C11" i="1" l="1"/>
  <c r="F7" i="1"/>
  <c r="G7" i="1"/>
  <c r="D6" i="1"/>
  <c r="E7" i="1" s="1"/>
  <c r="D7" i="1" l="1"/>
  <c r="E8" i="1" s="1"/>
  <c r="F8" i="1"/>
  <c r="G8" i="1"/>
  <c r="C12" i="1"/>
  <c r="C13" i="1" l="1"/>
  <c r="F9" i="1"/>
  <c r="G9" i="1"/>
  <c r="D8" i="1"/>
  <c r="E9" i="1" s="1"/>
  <c r="F10" i="1" l="1"/>
  <c r="G10" i="1"/>
  <c r="D9" i="1"/>
  <c r="E10" i="1" s="1"/>
  <c r="C14" i="1"/>
  <c r="C15" i="1" l="1"/>
  <c r="F11" i="1"/>
  <c r="G11" i="1"/>
  <c r="D10" i="1"/>
  <c r="E11" i="1" s="1"/>
  <c r="F12" i="1" l="1"/>
  <c r="G12" i="1"/>
  <c r="D11" i="1"/>
  <c r="E12" i="1" s="1"/>
  <c r="C16" i="1"/>
  <c r="C17" i="1" l="1"/>
  <c r="F13" i="1"/>
  <c r="G13" i="1"/>
  <c r="D12" i="1"/>
  <c r="E13" i="1" s="1"/>
  <c r="F14" i="1" l="1"/>
  <c r="G14" i="1"/>
  <c r="D13" i="1"/>
  <c r="E14" i="1" s="1"/>
  <c r="C18" i="1"/>
  <c r="F15" i="1" l="1"/>
  <c r="G15" i="1"/>
  <c r="D14" i="1"/>
  <c r="E15" i="1" s="1"/>
  <c r="C19" i="1"/>
  <c r="C20" i="1" l="1"/>
  <c r="F16" i="1"/>
  <c r="G16" i="1"/>
  <c r="D15" i="1"/>
  <c r="E16" i="1" s="1"/>
  <c r="F17" i="1" l="1"/>
  <c r="G17" i="1"/>
  <c r="D16" i="1"/>
  <c r="E17" i="1" s="1"/>
  <c r="C21" i="1"/>
  <c r="F18" i="1" l="1"/>
  <c r="G18" i="1"/>
  <c r="D17" i="1"/>
  <c r="E18" i="1" s="1"/>
  <c r="C22" i="1"/>
  <c r="C23" i="1" l="1"/>
  <c r="F19" i="1"/>
  <c r="G19" i="1"/>
  <c r="D18" i="1"/>
  <c r="E19" i="1" s="1"/>
  <c r="F20" i="1" l="1"/>
  <c r="G20" i="1"/>
  <c r="D19" i="1"/>
  <c r="E20" i="1" s="1"/>
  <c r="C24" i="1"/>
  <c r="F21" i="1" l="1"/>
  <c r="G21" i="1"/>
  <c r="D20" i="1"/>
  <c r="E21" i="1" s="1"/>
  <c r="C25" i="1"/>
  <c r="C26" i="1" l="1"/>
  <c r="F22" i="1"/>
  <c r="G22" i="1"/>
  <c r="D21" i="1"/>
  <c r="E22" i="1" s="1"/>
  <c r="F23" i="1" l="1"/>
  <c r="G23" i="1"/>
  <c r="D22" i="1"/>
  <c r="E23" i="1" s="1"/>
  <c r="C27" i="1"/>
  <c r="C28" i="1" l="1"/>
  <c r="F24" i="1"/>
  <c r="G24" i="1"/>
  <c r="D23" i="1"/>
  <c r="E24" i="1" s="1"/>
  <c r="F25" i="1" l="1"/>
  <c r="G25" i="1"/>
  <c r="D24" i="1"/>
  <c r="E25" i="1" s="1"/>
  <c r="C29" i="1"/>
  <c r="F26" i="1" l="1"/>
  <c r="G26" i="1"/>
  <c r="D25" i="1"/>
  <c r="E26" i="1" s="1"/>
  <c r="C30" i="1"/>
  <c r="F27" i="1" l="1"/>
  <c r="G27" i="1"/>
  <c r="D26" i="1"/>
  <c r="E27" i="1" s="1"/>
  <c r="C31" i="1"/>
  <c r="C32" i="1" l="1"/>
  <c r="F28" i="1"/>
  <c r="G28" i="1"/>
  <c r="D27" i="1"/>
  <c r="E28" i="1" s="1"/>
  <c r="F29" i="1" l="1"/>
  <c r="G29" i="1"/>
  <c r="D28" i="1"/>
  <c r="E29" i="1" s="1"/>
  <c r="C33" i="1"/>
  <c r="F30" i="1" l="1"/>
  <c r="G30" i="1"/>
  <c r="D29" i="1"/>
  <c r="E30" i="1" s="1"/>
  <c r="C34" i="1"/>
  <c r="C35" i="1" l="1"/>
  <c r="F31" i="1"/>
  <c r="G31" i="1"/>
  <c r="D30" i="1"/>
  <c r="E31" i="1" s="1"/>
  <c r="F32" i="1" l="1"/>
  <c r="G32" i="1"/>
  <c r="D31" i="1"/>
  <c r="E32" i="1" s="1"/>
  <c r="C36" i="1"/>
  <c r="C37" i="1" l="1"/>
  <c r="F33" i="1"/>
  <c r="G33" i="1"/>
  <c r="D32" i="1"/>
  <c r="E33" i="1" s="1"/>
  <c r="F34" i="1" l="1"/>
  <c r="G34" i="1"/>
  <c r="D33" i="1"/>
  <c r="E34" i="1" s="1"/>
  <c r="C38" i="1"/>
  <c r="F35" i="1" l="1"/>
  <c r="G35" i="1"/>
  <c r="D34" i="1"/>
  <c r="E35" i="1" s="1"/>
  <c r="C39" i="1"/>
  <c r="C40" i="1" l="1"/>
  <c r="F36" i="1"/>
  <c r="G36" i="1"/>
  <c r="D35" i="1"/>
  <c r="E36" i="1" s="1"/>
  <c r="F37" i="1" l="1"/>
  <c r="G37" i="1"/>
  <c r="D36" i="1"/>
  <c r="E37" i="1" s="1"/>
  <c r="C41" i="1"/>
  <c r="F38" i="1" l="1"/>
  <c r="G38" i="1"/>
  <c r="D37" i="1"/>
  <c r="E38" i="1" s="1"/>
  <c r="C42" i="1"/>
  <c r="C43" i="1" l="1"/>
  <c r="F39" i="1"/>
  <c r="G39" i="1"/>
  <c r="D38" i="1"/>
  <c r="E39" i="1" s="1"/>
  <c r="F40" i="1" l="1"/>
  <c r="G40" i="1"/>
  <c r="D39" i="1"/>
  <c r="E40" i="1" s="1"/>
  <c r="C44" i="1"/>
  <c r="F41" i="1" l="1"/>
  <c r="G41" i="1"/>
  <c r="D40" i="1"/>
  <c r="E41" i="1" s="1"/>
  <c r="C45" i="1"/>
  <c r="C46" i="1" l="1"/>
  <c r="F42" i="1"/>
  <c r="G42" i="1"/>
  <c r="D41" i="1"/>
  <c r="E42" i="1" s="1"/>
  <c r="F43" i="1" l="1"/>
  <c r="G43" i="1"/>
  <c r="D42" i="1"/>
  <c r="E43" i="1" s="1"/>
  <c r="C47" i="1"/>
  <c r="C48" i="1" l="1"/>
  <c r="F44" i="1"/>
  <c r="G44" i="1"/>
  <c r="D43" i="1"/>
  <c r="E44" i="1" s="1"/>
  <c r="F45" i="1" l="1"/>
  <c r="G45" i="1"/>
  <c r="D44" i="1"/>
  <c r="E45" i="1" s="1"/>
  <c r="C49" i="1"/>
  <c r="C50" i="1" l="1"/>
  <c r="F46" i="1"/>
  <c r="G46" i="1"/>
  <c r="D45" i="1"/>
  <c r="E46" i="1" s="1"/>
  <c r="F47" i="1" l="1"/>
  <c r="G47" i="1"/>
  <c r="D46" i="1"/>
  <c r="E47" i="1" s="1"/>
  <c r="C51" i="1"/>
  <c r="C52" i="1" l="1"/>
  <c r="F48" i="1"/>
  <c r="G48" i="1"/>
  <c r="D47" i="1"/>
  <c r="E48" i="1" s="1"/>
  <c r="F49" i="1" l="1"/>
  <c r="G49" i="1"/>
  <c r="D48" i="1"/>
  <c r="E49" i="1" s="1"/>
  <c r="C53" i="1"/>
  <c r="F50" i="1" l="1"/>
  <c r="G50" i="1"/>
  <c r="D49" i="1"/>
  <c r="E50" i="1" s="1"/>
  <c r="F51" i="1" l="1"/>
  <c r="G51" i="1"/>
  <c r="D50" i="1"/>
  <c r="E51" i="1" s="1"/>
  <c r="F52" i="1" l="1"/>
  <c r="G52" i="1"/>
  <c r="D51" i="1"/>
  <c r="E52" i="1" s="1"/>
  <c r="F53" i="1" l="1"/>
  <c r="D53" i="1" s="1"/>
  <c r="G53" i="1"/>
  <c r="D52" i="1"/>
  <c r="E53" i="1" s="1"/>
</calcChain>
</file>

<file path=xl/sharedStrings.xml><?xml version="1.0" encoding="utf-8"?>
<sst xmlns="http://schemas.openxmlformats.org/spreadsheetml/2006/main" count="27" uniqueCount="9">
  <si>
    <t xml:space="preserve"> </t>
  </si>
  <si>
    <t>t</t>
  </si>
  <si>
    <t>amount</t>
  </si>
  <si>
    <t>gain</t>
  </si>
  <si>
    <t>factor</t>
  </si>
  <si>
    <t>loss</t>
  </si>
  <si>
    <r>
      <t>D</t>
    </r>
    <r>
      <rPr>
        <b/>
        <i/>
        <sz val="10"/>
        <rFont val="Arial"/>
      </rPr>
      <t>t</t>
    </r>
  </si>
  <si>
    <t>starting</t>
  </si>
  <si>
    <t>gain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</si>
</sst>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i/>
      <sz val="10"/>
      <name val="Arial"/>
    </font>
    <font>
      <sz val="10"/>
      <name val="Arial"/>
      <family val="2"/>
    </font>
    <font>
      <b/>
      <sz val="10"/>
      <name val="Arial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name val="Symbol"/>
      <family val="1"/>
      <charset val="2"/>
    </font>
    <font>
      <b/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3" fillId="0" borderId="0" xfId="0" applyFont="1"/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20830426156045"/>
          <c:y val="9.3633301268804384E-2"/>
          <c:w val="0.81725989607280114"/>
          <c:h val="0.752811742201187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Blad1!$F$3:$F$53</c:f>
              <c:numCache>
                <c:formatCode>0.00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1.2</c:v>
                </c:pt>
                <c:pt idx="3">
                  <c:v>1.3996999999999999</c:v>
                </c:pt>
                <c:pt idx="4">
                  <c:v>1.6392679999999999</c:v>
                </c:pt>
                <c:pt idx="5">
                  <c:v>1.918620251973</c:v>
                </c:pt>
                <c:pt idx="6">
                  <c:v>2.2456676921002527</c:v>
                </c:pt>
                <c:pt idx="7">
                  <c:v>2.6282874113934684</c:v>
                </c:pt>
                <c:pt idx="8">
                  <c:v>3.0759080427985159</c:v>
                </c:pt>
                <c:pt idx="9">
                  <c:v>3.5994931566621426</c:v>
                </c:pt>
                <c:pt idx="10">
                  <c:v>4.2118364021355204</c:v>
                </c:pt>
                <c:pt idx="11">
                  <c:v>4.9278481281724913</c:v>
                </c:pt>
                <c:pt idx="12">
                  <c:v>5.7648935388360893</c:v>
                </c:pt>
                <c:pt idx="13">
                  <c:v>6.7431780583182874</c:v>
                </c:pt>
                <c:pt idx="14">
                  <c:v>7.8861865668312712</c:v>
                </c:pt>
                <c:pt idx="15">
                  <c:v>9.221181043397074</c:v>
                </c:pt>
                <c:pt idx="16">
                  <c:v>10.779760775193267</c:v>
                </c:pt>
                <c:pt idx="17">
                  <c:v>12.59848792992215</c:v>
                </c:pt>
                <c:pt idx="18">
                  <c:v>14.719579112249685</c:v>
                </c:pt>
                <c:pt idx="19">
                  <c:v>17.191660128797995</c:v>
                </c:pt>
                <c:pt idx="20">
                  <c:v>20.0705761484754</c:v>
                </c:pt>
                <c:pt idx="21">
                  <c:v>23.420242220839768</c:v>
                </c:pt>
                <c:pt idx="22">
                  <c:v>27.313509042455323</c:v>
                </c:pt>
                <c:pt idx="23">
                  <c:v>31.833005162918433</c:v>
                </c:pt>
                <c:pt idx="24">
                  <c:v>37.071898638545811</c:v>
                </c:pt>
                <c:pt idx="25">
                  <c:v>43.13449760581878</c:v>
                </c:pt>
                <c:pt idx="26">
                  <c:v>50.136579632927955</c:v>
                </c:pt>
                <c:pt idx="27">
                  <c:v>58.205303688979797</c:v>
                </c:pt>
                <c:pt idx="28">
                  <c:v>67.478516630378707</c:v>
                </c:pt>
                <c:pt idx="29">
                  <c:v>78.103220154916755</c:v>
                </c:pt>
                <c:pt idx="30">
                  <c:v>90.232918419001606</c:v>
                </c:pt>
                <c:pt idx="31">
                  <c:v>104.02352855041474</c:v>
                </c:pt>
                <c:pt idx="32">
                  <c:v>119.627518364292</c:v>
                </c:pt>
                <c:pt idx="33">
                  <c:v>137.18595572675127</c:v>
                </c:pt>
                <c:pt idx="34">
                  <c:v>156.81823645460997</c:v>
                </c:pt>
                <c:pt idx="35">
                  <c:v>178.60943166536157</c:v>
                </c:pt>
                <c:pt idx="36">
                  <c:v>202.59549117086337</c:v>
                </c:pt>
                <c:pt idx="37">
                  <c:v>228.74697877998864</c:v>
                </c:pt>
                <c:pt idx="38">
                  <c:v>256.95259710133229</c:v>
                </c:pt>
                <c:pt idx="39">
                  <c:v>287.00443876703821</c:v>
                </c:pt>
                <c:pt idx="40">
                  <c:v>318.58756704016878</c:v>
                </c:pt>
                <c:pt idx="41">
                  <c:v>351.27699043198163</c:v>
                </c:pt>
                <c:pt idx="42">
                  <c:v>384.54509247824319</c:v>
                </c:pt>
                <c:pt idx="43">
                  <c:v>417.78183336255438</c:v>
                </c:pt>
                <c:pt idx="44">
                  <c:v>450.32837341347283</c:v>
                </c:pt>
                <c:pt idx="45">
                  <c:v>481.52224199965053</c:v>
                </c:pt>
                <c:pt idx="46">
                  <c:v>510.74922351197779</c:v>
                </c:pt>
                <c:pt idx="47">
                  <c:v>537.49457104979683</c:v>
                </c:pt>
                <c:pt idx="48">
                  <c:v>561.38498495676595</c:v>
                </c:pt>
                <c:pt idx="49">
                  <c:v>582.21377499432378</c:v>
                </c:pt>
                <c:pt idx="50">
                  <c:v>599.94484158520447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67936"/>
        <c:axId val="115777920"/>
      </c:lineChart>
      <c:catAx>
        <c:axId val="11576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7792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157779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67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97985899312314"/>
          <c:y val="8.1699607139779737E-2"/>
          <c:w val="0.83248834134123839"/>
          <c:h val="0.7843162285418854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Blad1!$E$3:$E$53</c:f>
              <c:numCache>
                <c:formatCode>0.00</c:formatCode>
                <c:ptCount val="51"/>
                <c:pt idx="0">
                  <c:v>0</c:v>
                </c:pt>
                <c:pt idx="1">
                  <c:v>0.3</c:v>
                </c:pt>
                <c:pt idx="2">
                  <c:v>0.29969999999999997</c:v>
                </c:pt>
                <c:pt idx="3">
                  <c:v>0.35956799999999994</c:v>
                </c:pt>
                <c:pt idx="4">
                  <c:v>0.41932225197299994</c:v>
                </c:pt>
                <c:pt idx="5">
                  <c:v>0.49097424012725271</c:v>
                </c:pt>
                <c:pt idx="6">
                  <c:v>0.5744817444905157</c:v>
                </c:pt>
                <c:pt idx="7">
                  <c:v>0.67218740061507287</c:v>
                </c:pt>
                <c:pt idx="8">
                  <c:v>0.78641385500297367</c:v>
                </c:pt>
                <c:pt idx="9">
                  <c:v>0.91993404975322901</c:v>
                </c:pt>
                <c:pt idx="10">
                  <c:v>1.0759610417031853</c:v>
                </c:pt>
                <c:pt idx="11">
                  <c:v>1.2582290508771499</c:v>
                </c:pt>
                <c:pt idx="12">
                  <c:v>1.4710693322994473</c:v>
                </c:pt>
                <c:pt idx="13">
                  <c:v>1.7194978623965926</c:v>
                </c:pt>
                <c:pt idx="14">
                  <c:v>2.0093122823976306</c:v>
                </c:pt>
                <c:pt idx="15">
                  <c:v>2.3471983884793204</c:v>
                </c:pt>
                <c:pt idx="16">
                  <c:v>2.7408452590685903</c:v>
                </c:pt>
                <c:pt idx="17">
                  <c:v>3.1990672598468608</c:v>
                </c:pt>
                <c:pt idx="18">
                  <c:v>3.7319298095405267</c:v>
                </c:pt>
                <c:pt idx="19">
                  <c:v>4.3508739309023721</c:v>
                </c:pt>
                <c:pt idx="20">
                  <c:v>5.0688320852441677</c:v>
                </c:pt>
                <c:pt idx="21">
                  <c:v>5.9003244364630936</c:v>
                </c:pt>
                <c:pt idx="22">
                  <c:v>6.8615203425470881</c:v>
                </c:pt>
                <c:pt idx="23">
                  <c:v>7.9702443798729101</c:v>
                </c:pt>
                <c:pt idx="24">
                  <c:v>9.2458994835648127</c:v>
                </c:pt>
                <c:pt idx="25">
                  <c:v>10.709271890963759</c:v>
                </c:pt>
                <c:pt idx="26">
                  <c:v>12.382173816633719</c:v>
                </c:pt>
                <c:pt idx="27">
                  <c:v>14.28687090469171</c:v>
                </c:pt>
                <c:pt idx="28">
                  <c:v>16.445233893436029</c:v>
                </c:pt>
                <c:pt idx="29">
                  <c:v>18.877549927122722</c:v>
                </c:pt>
                <c:pt idx="30">
                  <c:v>21.60093214690481</c:v>
                </c:pt>
                <c:pt idx="31">
                  <c:v>24.62728165577742</c:v>
                </c:pt>
                <c:pt idx="32">
                  <c:v>27.960790217500733</c:v>
                </c:pt>
                <c:pt idx="33">
                  <c:v>31.595032564287894</c:v>
                </c:pt>
                <c:pt idx="34">
                  <c:v>35.509790783426737</c:v>
                </c:pt>
                <c:pt idx="35">
                  <c:v>39.667883150962801</c:v>
                </c:pt>
                <c:pt idx="36">
                  <c:v>44.012430775661429</c:v>
                </c:pt>
                <c:pt idx="37">
                  <c:v>48.465167438429994</c:v>
                </c:pt>
                <c:pt idx="38">
                  <c:v>52.926539543704813</c:v>
                </c:pt>
                <c:pt idx="39">
                  <c:v>57.278387983263805</c:v>
                </c:pt>
                <c:pt idx="40">
                  <c:v>61.389867268516682</c:v>
                </c:pt>
                <c:pt idx="41">
                  <c:v>65.126858750278416</c:v>
                </c:pt>
                <c:pt idx="42">
                  <c:v>68.364439927509338</c:v>
                </c:pt>
                <c:pt idx="43">
                  <c:v>71.001049298742771</c:v>
                </c:pt>
                <c:pt idx="44">
                  <c:v>72.972051922433167</c:v>
                </c:pt>
                <c:pt idx="45">
                  <c:v>74.259818853674574</c:v>
                </c:pt>
                <c:pt idx="46">
                  <c:v>74.897571737784148</c:v>
                </c:pt>
                <c:pt idx="47">
                  <c:v>74.965336258166857</c:v>
                </c:pt>
                <c:pt idx="48">
                  <c:v>74.578247142537521</c:v>
                </c:pt>
                <c:pt idx="49">
                  <c:v>73.869565086557273</c:v>
                </c:pt>
                <c:pt idx="50">
                  <c:v>72.972268560354806</c:v>
                </c:pt>
              </c:numCache>
            </c:numRef>
          </c:val>
          <c:smooth val="0"/>
        </c:ser>
        <c:ser>
          <c:idx val="2"/>
          <c:order val="1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Blad1!$G$3:$G$53</c:f>
              <c:numCache>
                <c:formatCode>0.00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0.12</c:v>
                </c:pt>
                <c:pt idx="4">
                  <c:v>0.13997000000000001</c:v>
                </c:pt>
                <c:pt idx="5">
                  <c:v>0.16392680000000001</c:v>
                </c:pt>
                <c:pt idx="6">
                  <c:v>0.1918620251973</c:v>
                </c:pt>
                <c:pt idx="7">
                  <c:v>0.22456676921002527</c:v>
                </c:pt>
                <c:pt idx="8">
                  <c:v>0.26282874113934684</c:v>
                </c:pt>
                <c:pt idx="9">
                  <c:v>0.30759080427985164</c:v>
                </c:pt>
                <c:pt idx="10">
                  <c:v>0.3599493156662143</c:v>
                </c:pt>
                <c:pt idx="11">
                  <c:v>0.42118364021355204</c:v>
                </c:pt>
                <c:pt idx="12">
                  <c:v>0.49278481281724917</c:v>
                </c:pt>
                <c:pt idx="13">
                  <c:v>0.576489353883609</c:v>
                </c:pt>
                <c:pt idx="14">
                  <c:v>0.67431780583182876</c:v>
                </c:pt>
                <c:pt idx="15">
                  <c:v>0.78861865668312714</c:v>
                </c:pt>
                <c:pt idx="16">
                  <c:v>0.92211810433970742</c:v>
                </c:pt>
                <c:pt idx="17">
                  <c:v>1.0779760775193268</c:v>
                </c:pt>
                <c:pt idx="18">
                  <c:v>1.2598487929922151</c:v>
                </c:pt>
                <c:pt idx="19">
                  <c:v>1.4719579112249686</c:v>
                </c:pt>
                <c:pt idx="20">
                  <c:v>1.7191660128797996</c:v>
                </c:pt>
                <c:pt idx="21">
                  <c:v>2.0070576148475401</c:v>
                </c:pt>
                <c:pt idx="22">
                  <c:v>2.3420242220839769</c:v>
                </c:pt>
                <c:pt idx="23">
                  <c:v>2.7313509042455326</c:v>
                </c:pt>
                <c:pt idx="24">
                  <c:v>3.1833005162918435</c:v>
                </c:pt>
                <c:pt idx="25">
                  <c:v>3.7071898638545813</c:v>
                </c:pt>
                <c:pt idx="26">
                  <c:v>4.3134497605818778</c:v>
                </c:pt>
                <c:pt idx="27">
                  <c:v>5.013657963292796</c:v>
                </c:pt>
                <c:pt idx="28">
                  <c:v>5.8205303688979804</c:v>
                </c:pt>
                <c:pt idx="29">
                  <c:v>6.7478516630378707</c:v>
                </c:pt>
                <c:pt idx="30">
                  <c:v>7.8103220154916757</c:v>
                </c:pt>
                <c:pt idx="31">
                  <c:v>9.0232918419001606</c:v>
                </c:pt>
                <c:pt idx="32">
                  <c:v>10.402352855041475</c:v>
                </c:pt>
                <c:pt idx="33">
                  <c:v>11.9627518364292</c:v>
                </c:pt>
                <c:pt idx="34">
                  <c:v>13.718595572675127</c:v>
                </c:pt>
                <c:pt idx="35">
                  <c:v>15.681823645460998</c:v>
                </c:pt>
                <c:pt idx="36">
                  <c:v>17.860943166536156</c:v>
                </c:pt>
                <c:pt idx="37">
                  <c:v>20.259549117086337</c:v>
                </c:pt>
                <c:pt idx="38">
                  <c:v>22.874697877998866</c:v>
                </c:pt>
                <c:pt idx="39">
                  <c:v>25.695259710133229</c:v>
                </c:pt>
                <c:pt idx="40">
                  <c:v>28.700443876703822</c:v>
                </c:pt>
                <c:pt idx="41">
                  <c:v>31.85875670401688</c:v>
                </c:pt>
                <c:pt idx="42">
                  <c:v>35.127699043198163</c:v>
                </c:pt>
                <c:pt idx="43">
                  <c:v>38.454509247824319</c:v>
                </c:pt>
                <c:pt idx="44">
                  <c:v>41.778183336255438</c:v>
                </c:pt>
                <c:pt idx="45">
                  <c:v>45.032837341347289</c:v>
                </c:pt>
                <c:pt idx="46">
                  <c:v>48.152224199965055</c:v>
                </c:pt>
                <c:pt idx="47">
                  <c:v>51.074922351197785</c:v>
                </c:pt>
                <c:pt idx="48">
                  <c:v>53.749457104979683</c:v>
                </c:pt>
                <c:pt idx="49">
                  <c:v>56.1384984956766</c:v>
                </c:pt>
                <c:pt idx="50">
                  <c:v>58.221377499432378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94304"/>
        <c:axId val="115795840"/>
      </c:lineChart>
      <c:catAx>
        <c:axId val="11579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9584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1579584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943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76200</xdr:rowOff>
    </xdr:from>
    <xdr:to>
      <xdr:col>15</xdr:col>
      <xdr:colOff>76200</xdr:colOff>
      <xdr:row>18</xdr:row>
      <xdr:rowOff>28575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19</xdr:row>
      <xdr:rowOff>28575</xdr:rowOff>
    </xdr:from>
    <xdr:to>
      <xdr:col>15</xdr:col>
      <xdr:colOff>76200</xdr:colOff>
      <xdr:row>37</xdr:row>
      <xdr:rowOff>28575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zoomScaleNormal="100" workbookViewId="0">
      <pane ySplit="2" topLeftCell="A3" activePane="bottomLeft" state="frozen"/>
      <selection pane="bottomLeft" activeCell="F2" sqref="F2"/>
    </sheetView>
  </sheetViews>
  <sheetFormatPr defaultRowHeight="12.75" x14ac:dyDescent="0.2"/>
  <cols>
    <col min="1" max="2" width="4.7109375" customWidth="1"/>
    <col min="3" max="3" width="11.140625" customWidth="1"/>
    <col min="5" max="5" width="9.5703125" bestFit="1" customWidth="1"/>
    <col min="6" max="6" width="13.140625" bestFit="1" customWidth="1"/>
    <col min="7" max="7" width="14.7109375" bestFit="1" customWidth="1"/>
    <col min="8" max="8" width="9.140625" style="5"/>
    <col min="13" max="13" width="4.7109375" customWidth="1"/>
  </cols>
  <sheetData>
    <row r="1" spans="1:13" s="11" customFormat="1" x14ac:dyDescent="0.2">
      <c r="A1" s="8"/>
      <c r="B1" s="8"/>
      <c r="C1" s="15" t="s">
        <v>7</v>
      </c>
      <c r="D1" s="9" t="s">
        <v>3</v>
      </c>
      <c r="E1" s="9"/>
      <c r="F1" s="9"/>
      <c r="G1" s="9"/>
      <c r="H1" s="10" t="s">
        <v>5</v>
      </c>
    </row>
    <row r="2" spans="1:13" s="11" customFormat="1" x14ac:dyDescent="0.2">
      <c r="A2" s="12" t="s">
        <v>1</v>
      </c>
      <c r="B2" s="13" t="s">
        <v>6</v>
      </c>
      <c r="C2" s="9" t="s">
        <v>8</v>
      </c>
      <c r="D2" s="9" t="s">
        <v>4</v>
      </c>
      <c r="E2" s="9" t="s">
        <v>3</v>
      </c>
      <c r="F2" s="9" t="s">
        <v>2</v>
      </c>
      <c r="G2" s="9" t="s">
        <v>5</v>
      </c>
      <c r="H2" s="10" t="s">
        <v>4</v>
      </c>
      <c r="J2" s="14"/>
    </row>
    <row r="3" spans="1:13" x14ac:dyDescent="0.2">
      <c r="A3">
        <v>0</v>
      </c>
      <c r="B3">
        <v>1</v>
      </c>
      <c r="C3" s="1">
        <v>0.3</v>
      </c>
      <c r="D3" s="6">
        <f>C3</f>
        <v>0.3</v>
      </c>
      <c r="E3" s="1">
        <v>0</v>
      </c>
      <c r="F3" s="1">
        <v>1</v>
      </c>
      <c r="G3" s="1">
        <v>0</v>
      </c>
      <c r="H3" s="7">
        <v>0.1</v>
      </c>
    </row>
    <row r="4" spans="1:13" x14ac:dyDescent="0.2">
      <c r="A4">
        <f>A3+B3</f>
        <v>1</v>
      </c>
      <c r="B4">
        <v>1</v>
      </c>
      <c r="C4" s="1">
        <f>C3</f>
        <v>0.3</v>
      </c>
      <c r="D4" s="6">
        <f>C4*(1000-F4)/1000</f>
        <v>0.29969999999999997</v>
      </c>
      <c r="E4" s="1">
        <f>D3*F3</f>
        <v>0.3</v>
      </c>
      <c r="F4" s="1">
        <f>F3+(E3-G3)*B3</f>
        <v>1</v>
      </c>
      <c r="G4" s="1">
        <f>F3*H3</f>
        <v>0.1</v>
      </c>
      <c r="H4" s="7">
        <f>H3</f>
        <v>0.1</v>
      </c>
      <c r="I4" s="2"/>
      <c r="J4" s="2"/>
      <c r="K4" s="2"/>
      <c r="L4" s="2"/>
    </row>
    <row r="5" spans="1:13" x14ac:dyDescent="0.2">
      <c r="A5">
        <f t="shared" ref="A5:A53" si="0">A4+B4</f>
        <v>2</v>
      </c>
      <c r="B5">
        <v>1</v>
      </c>
      <c r="C5" s="1">
        <f t="shared" ref="C5:C53" si="1">C4</f>
        <v>0.3</v>
      </c>
      <c r="D5" s="6">
        <f t="shared" ref="D5:D53" si="2">C5*(1000-F5)/1000</f>
        <v>0.29963999999999996</v>
      </c>
      <c r="E5" s="1">
        <f t="shared" ref="E5:E53" si="3">D4*F4</f>
        <v>0.29969999999999997</v>
      </c>
      <c r="F5" s="1">
        <f t="shared" ref="F5:F53" si="4">F4+(E4-G4)*B4</f>
        <v>1.2</v>
      </c>
      <c r="G5" s="1">
        <f t="shared" ref="G5:G53" si="5">F4*H4</f>
        <v>0.1</v>
      </c>
      <c r="H5" s="7">
        <f t="shared" ref="H5:H53" si="6">H4</f>
        <v>0.1</v>
      </c>
      <c r="I5" s="2"/>
      <c r="J5" s="2"/>
      <c r="K5" s="2"/>
      <c r="L5" s="2"/>
    </row>
    <row r="6" spans="1:13" x14ac:dyDescent="0.2">
      <c r="A6">
        <f t="shared" si="0"/>
        <v>3</v>
      </c>
      <c r="B6">
        <v>1</v>
      </c>
      <c r="C6" s="1">
        <f t="shared" si="1"/>
        <v>0.3</v>
      </c>
      <c r="D6" s="6">
        <f t="shared" si="2"/>
        <v>0.29958008999999997</v>
      </c>
      <c r="E6" s="1">
        <f t="shared" si="3"/>
        <v>0.35956799999999994</v>
      </c>
      <c r="F6" s="1">
        <f t="shared" si="4"/>
        <v>1.3996999999999999</v>
      </c>
      <c r="G6" s="1">
        <f t="shared" si="5"/>
        <v>0.12</v>
      </c>
      <c r="H6" s="7">
        <f t="shared" si="6"/>
        <v>0.1</v>
      </c>
    </row>
    <row r="7" spans="1:13" x14ac:dyDescent="0.2">
      <c r="A7">
        <f t="shared" si="0"/>
        <v>4</v>
      </c>
      <c r="B7">
        <v>1</v>
      </c>
      <c r="C7" s="1">
        <f t="shared" si="1"/>
        <v>0.3</v>
      </c>
      <c r="D7" s="6">
        <f t="shared" si="2"/>
        <v>0.29950821959999996</v>
      </c>
      <c r="E7" s="1">
        <f t="shared" si="3"/>
        <v>0.41932225197299994</v>
      </c>
      <c r="F7" s="1">
        <f t="shared" si="4"/>
        <v>1.6392679999999999</v>
      </c>
      <c r="G7" s="1">
        <f t="shared" si="5"/>
        <v>0.13997000000000001</v>
      </c>
      <c r="H7" s="7">
        <f t="shared" si="6"/>
        <v>0.1</v>
      </c>
      <c r="I7" s="3"/>
      <c r="J7" s="3"/>
      <c r="K7" s="3"/>
      <c r="L7" s="3"/>
    </row>
    <row r="8" spans="1:13" x14ac:dyDescent="0.2">
      <c r="A8">
        <f t="shared" si="0"/>
        <v>5</v>
      </c>
      <c r="B8">
        <v>1</v>
      </c>
      <c r="C8" s="1">
        <f t="shared" si="1"/>
        <v>0.3</v>
      </c>
      <c r="D8" s="6">
        <f t="shared" si="2"/>
        <v>0.29942441392440811</v>
      </c>
      <c r="E8" s="1">
        <f t="shared" si="3"/>
        <v>0.49097424012725271</v>
      </c>
      <c r="F8" s="1">
        <f t="shared" si="4"/>
        <v>1.918620251973</v>
      </c>
      <c r="G8" s="1">
        <f t="shared" si="5"/>
        <v>0.16392680000000001</v>
      </c>
      <c r="H8" s="7">
        <f t="shared" si="6"/>
        <v>0.1</v>
      </c>
    </row>
    <row r="9" spans="1:13" x14ac:dyDescent="0.2">
      <c r="A9">
        <f t="shared" si="0"/>
        <v>6</v>
      </c>
      <c r="B9">
        <v>1</v>
      </c>
      <c r="C9" s="1">
        <f t="shared" si="1"/>
        <v>0.3</v>
      </c>
      <c r="D9" s="6">
        <f t="shared" si="2"/>
        <v>0.2993262996923699</v>
      </c>
      <c r="E9" s="1">
        <f t="shared" si="3"/>
        <v>0.5744817444905157</v>
      </c>
      <c r="F9" s="1">
        <f t="shared" si="4"/>
        <v>2.2456676921002527</v>
      </c>
      <c r="G9" s="1">
        <f t="shared" si="5"/>
        <v>0.1918620251973</v>
      </c>
      <c r="H9" s="7">
        <f t="shared" si="6"/>
        <v>0.1</v>
      </c>
      <c r="J9" s="1"/>
      <c r="K9" s="1"/>
      <c r="L9" s="4"/>
      <c r="M9" t="s">
        <v>0</v>
      </c>
    </row>
    <row r="10" spans="1:13" x14ac:dyDescent="0.2">
      <c r="A10">
        <f t="shared" si="0"/>
        <v>7</v>
      </c>
      <c r="B10">
        <v>1</v>
      </c>
      <c r="C10" s="1">
        <f t="shared" si="1"/>
        <v>0.3</v>
      </c>
      <c r="D10" s="6">
        <f t="shared" si="2"/>
        <v>0.29921151377658195</v>
      </c>
      <c r="E10" s="1">
        <f t="shared" si="3"/>
        <v>0.67218740061507287</v>
      </c>
      <c r="F10" s="1">
        <f t="shared" si="4"/>
        <v>2.6282874113934684</v>
      </c>
      <c r="G10" s="1">
        <f t="shared" si="5"/>
        <v>0.22456676921002527</v>
      </c>
      <c r="H10" s="7">
        <f t="shared" si="6"/>
        <v>0.1</v>
      </c>
      <c r="J10" s="1"/>
      <c r="K10" s="1"/>
      <c r="L10" s="4"/>
    </row>
    <row r="11" spans="1:13" x14ac:dyDescent="0.2">
      <c r="A11">
        <f t="shared" si="0"/>
        <v>8</v>
      </c>
      <c r="B11">
        <v>1</v>
      </c>
      <c r="C11" s="1">
        <f t="shared" si="1"/>
        <v>0.3</v>
      </c>
      <c r="D11" s="6">
        <f t="shared" si="2"/>
        <v>0.29907722758716043</v>
      </c>
      <c r="E11" s="1">
        <f t="shared" si="3"/>
        <v>0.78641385500297367</v>
      </c>
      <c r="F11" s="1">
        <f t="shared" si="4"/>
        <v>3.0759080427985159</v>
      </c>
      <c r="G11" s="1">
        <f t="shared" si="5"/>
        <v>0.26282874113934684</v>
      </c>
      <c r="H11" s="7">
        <f t="shared" si="6"/>
        <v>0.1</v>
      </c>
      <c r="J11" s="1"/>
      <c r="K11" s="1"/>
      <c r="L11" s="4"/>
    </row>
    <row r="12" spans="1:13" x14ac:dyDescent="0.2">
      <c r="A12">
        <f t="shared" si="0"/>
        <v>9</v>
      </c>
      <c r="B12">
        <v>1</v>
      </c>
      <c r="C12" s="1">
        <f t="shared" si="1"/>
        <v>0.3</v>
      </c>
      <c r="D12" s="6">
        <f t="shared" si="2"/>
        <v>0.29892015205300132</v>
      </c>
      <c r="E12" s="1">
        <f t="shared" si="3"/>
        <v>0.91993404975322901</v>
      </c>
      <c r="F12" s="1">
        <f t="shared" si="4"/>
        <v>3.5994931566621426</v>
      </c>
      <c r="G12" s="1">
        <f t="shared" si="5"/>
        <v>0.30759080427985164</v>
      </c>
      <c r="H12" s="7">
        <f t="shared" si="6"/>
        <v>0.1</v>
      </c>
      <c r="J12" s="1"/>
      <c r="K12" s="1"/>
      <c r="L12" s="4"/>
    </row>
    <row r="13" spans="1:13" x14ac:dyDescent="0.2">
      <c r="A13">
        <f t="shared" si="0"/>
        <v>10</v>
      </c>
      <c r="B13">
        <v>1</v>
      </c>
      <c r="C13" s="1">
        <f t="shared" si="1"/>
        <v>0.3</v>
      </c>
      <c r="D13" s="6">
        <f t="shared" si="2"/>
        <v>0.29873644907935931</v>
      </c>
      <c r="E13" s="1">
        <f t="shared" si="3"/>
        <v>1.0759610417031853</v>
      </c>
      <c r="F13" s="1">
        <f t="shared" si="4"/>
        <v>4.2118364021355204</v>
      </c>
      <c r="G13" s="1">
        <f t="shared" si="5"/>
        <v>0.3599493156662143</v>
      </c>
      <c r="H13" s="7">
        <f t="shared" si="6"/>
        <v>0.1</v>
      </c>
      <c r="J13" s="1"/>
      <c r="K13" s="1"/>
      <c r="L13" s="4"/>
    </row>
    <row r="14" spans="1:13" x14ac:dyDescent="0.2">
      <c r="A14">
        <f t="shared" si="0"/>
        <v>11</v>
      </c>
      <c r="B14">
        <v>1</v>
      </c>
      <c r="C14" s="1">
        <f t="shared" si="1"/>
        <v>0.3</v>
      </c>
      <c r="D14" s="6">
        <f t="shared" si="2"/>
        <v>0.2985216455615482</v>
      </c>
      <c r="E14" s="1">
        <f t="shared" si="3"/>
        <v>1.2582290508771499</v>
      </c>
      <c r="F14" s="1">
        <f t="shared" si="4"/>
        <v>4.9278481281724913</v>
      </c>
      <c r="G14" s="1">
        <f t="shared" si="5"/>
        <v>0.42118364021355204</v>
      </c>
      <c r="H14" s="7">
        <f t="shared" si="6"/>
        <v>0.1</v>
      </c>
      <c r="J14" s="1"/>
      <c r="K14" s="1"/>
      <c r="L14" s="4"/>
    </row>
    <row r="15" spans="1:13" x14ac:dyDescent="0.2">
      <c r="A15">
        <f t="shared" si="0"/>
        <v>12</v>
      </c>
      <c r="B15">
        <v>1</v>
      </c>
      <c r="C15" s="1">
        <f t="shared" si="1"/>
        <v>0.3</v>
      </c>
      <c r="D15" s="6">
        <f t="shared" si="2"/>
        <v>0.29827053193834918</v>
      </c>
      <c r="E15" s="1">
        <f t="shared" si="3"/>
        <v>1.4710693322994473</v>
      </c>
      <c r="F15" s="1">
        <f t="shared" si="4"/>
        <v>5.7648935388360893</v>
      </c>
      <c r="G15" s="1">
        <f t="shared" si="5"/>
        <v>0.49278481281724917</v>
      </c>
      <c r="H15" s="7">
        <f t="shared" si="6"/>
        <v>0.1</v>
      </c>
      <c r="J15" s="1"/>
      <c r="K15" s="1"/>
      <c r="L15" s="4"/>
    </row>
    <row r="16" spans="1:13" x14ac:dyDescent="0.2">
      <c r="A16">
        <f t="shared" si="0"/>
        <v>13</v>
      </c>
      <c r="B16">
        <v>1</v>
      </c>
      <c r="C16" s="1">
        <f t="shared" si="1"/>
        <v>0.3</v>
      </c>
      <c r="D16" s="6">
        <f t="shared" si="2"/>
        <v>0.29797704658250451</v>
      </c>
      <c r="E16" s="1">
        <f t="shared" si="3"/>
        <v>1.7194978623965926</v>
      </c>
      <c r="F16" s="1">
        <f t="shared" si="4"/>
        <v>6.7431780583182874</v>
      </c>
      <c r="G16" s="1">
        <f t="shared" si="5"/>
        <v>0.576489353883609</v>
      </c>
      <c r="H16" s="7">
        <f t="shared" si="6"/>
        <v>0.1</v>
      </c>
      <c r="J16" s="1"/>
      <c r="K16" s="1"/>
      <c r="L16" s="4"/>
    </row>
    <row r="17" spans="1:17" x14ac:dyDescent="0.2">
      <c r="A17">
        <f t="shared" si="0"/>
        <v>14</v>
      </c>
      <c r="B17">
        <v>1</v>
      </c>
      <c r="C17" s="1">
        <f t="shared" si="1"/>
        <v>0.3</v>
      </c>
      <c r="D17" s="6">
        <f t="shared" si="2"/>
        <v>0.29763414402995064</v>
      </c>
      <c r="E17" s="1">
        <f t="shared" si="3"/>
        <v>2.0093122823976306</v>
      </c>
      <c r="F17" s="1">
        <f t="shared" si="4"/>
        <v>7.8861865668312712</v>
      </c>
      <c r="G17" s="1">
        <f t="shared" si="5"/>
        <v>0.67431780583182876</v>
      </c>
      <c r="H17" s="7">
        <f t="shared" si="6"/>
        <v>0.1</v>
      </c>
      <c r="J17" s="1"/>
      <c r="K17" s="1"/>
      <c r="L17" s="4"/>
      <c r="O17" t="s">
        <v>0</v>
      </c>
    </row>
    <row r="18" spans="1:17" x14ac:dyDescent="0.2">
      <c r="A18">
        <f t="shared" si="0"/>
        <v>15</v>
      </c>
      <c r="B18">
        <v>1</v>
      </c>
      <c r="C18" s="1">
        <f t="shared" si="1"/>
        <v>0.3</v>
      </c>
      <c r="D18" s="6">
        <f t="shared" si="2"/>
        <v>0.29723364568698085</v>
      </c>
      <c r="E18" s="1">
        <f t="shared" si="3"/>
        <v>2.3471983884793204</v>
      </c>
      <c r="F18" s="1">
        <f t="shared" si="4"/>
        <v>9.221181043397074</v>
      </c>
      <c r="G18" s="1">
        <f t="shared" si="5"/>
        <v>0.78861865668312714</v>
      </c>
      <c r="H18" s="7">
        <f t="shared" si="6"/>
        <v>0.1</v>
      </c>
      <c r="I18" t="s">
        <v>0</v>
      </c>
      <c r="J18" s="1"/>
      <c r="K18" s="1"/>
      <c r="L18" s="4"/>
      <c r="N18" t="s">
        <v>0</v>
      </c>
      <c r="O18" t="s">
        <v>0</v>
      </c>
    </row>
    <row r="19" spans="1:17" x14ac:dyDescent="0.2">
      <c r="A19">
        <f t="shared" si="0"/>
        <v>16</v>
      </c>
      <c r="B19">
        <v>1</v>
      </c>
      <c r="C19" s="1">
        <f t="shared" si="1"/>
        <v>0.3</v>
      </c>
      <c r="D19" s="6">
        <f t="shared" si="2"/>
        <v>0.29676607176744196</v>
      </c>
      <c r="E19" s="1">
        <f t="shared" si="3"/>
        <v>2.7408452590685903</v>
      </c>
      <c r="F19" s="1">
        <f t="shared" si="4"/>
        <v>10.779760775193267</v>
      </c>
      <c r="G19" s="1">
        <f t="shared" si="5"/>
        <v>0.92211810433970742</v>
      </c>
      <c r="H19" s="7">
        <f t="shared" si="6"/>
        <v>0.1</v>
      </c>
      <c r="J19" s="1"/>
      <c r="K19" s="1"/>
      <c r="L19" s="4"/>
      <c r="O19" t="s">
        <v>0</v>
      </c>
    </row>
    <row r="20" spans="1:17" x14ac:dyDescent="0.2">
      <c r="A20">
        <f t="shared" si="0"/>
        <v>17</v>
      </c>
      <c r="B20">
        <v>1</v>
      </c>
      <c r="C20" s="1">
        <f t="shared" si="1"/>
        <v>0.3</v>
      </c>
      <c r="D20" s="6">
        <f t="shared" si="2"/>
        <v>0.29622045362102334</v>
      </c>
      <c r="E20" s="1">
        <f t="shared" si="3"/>
        <v>3.1990672598468608</v>
      </c>
      <c r="F20" s="1">
        <f t="shared" si="4"/>
        <v>12.59848792992215</v>
      </c>
      <c r="G20" s="1">
        <f t="shared" si="5"/>
        <v>1.0779760775193268</v>
      </c>
      <c r="H20" s="7">
        <f t="shared" si="6"/>
        <v>0.1</v>
      </c>
      <c r="J20" s="1"/>
      <c r="K20" s="1"/>
      <c r="L20" s="4"/>
    </row>
    <row r="21" spans="1:17" x14ac:dyDescent="0.2">
      <c r="A21">
        <f t="shared" si="0"/>
        <v>18</v>
      </c>
      <c r="B21">
        <v>1</v>
      </c>
      <c r="C21" s="1">
        <f t="shared" si="1"/>
        <v>0.3</v>
      </c>
      <c r="D21" s="6">
        <f t="shared" si="2"/>
        <v>0.29558412626632508</v>
      </c>
      <c r="E21" s="1">
        <f t="shared" si="3"/>
        <v>3.7319298095405267</v>
      </c>
      <c r="F21" s="1">
        <f t="shared" si="4"/>
        <v>14.719579112249685</v>
      </c>
      <c r="G21" s="1">
        <f t="shared" si="5"/>
        <v>1.2598487929922151</v>
      </c>
      <c r="H21" s="7">
        <f t="shared" si="6"/>
        <v>0.1</v>
      </c>
      <c r="J21" s="1"/>
      <c r="K21" s="1"/>
      <c r="L21" s="4"/>
    </row>
    <row r="22" spans="1:17" x14ac:dyDescent="0.2">
      <c r="A22">
        <f t="shared" si="0"/>
        <v>19</v>
      </c>
      <c r="B22">
        <v>1</v>
      </c>
      <c r="C22" s="1">
        <f t="shared" si="1"/>
        <v>0.3</v>
      </c>
      <c r="D22" s="6">
        <f t="shared" si="2"/>
        <v>0.29484250196136058</v>
      </c>
      <c r="E22" s="1">
        <f t="shared" si="3"/>
        <v>4.3508739309023721</v>
      </c>
      <c r="F22" s="1">
        <f t="shared" si="4"/>
        <v>17.191660128797995</v>
      </c>
      <c r="G22" s="1">
        <f t="shared" si="5"/>
        <v>1.4719579112249686</v>
      </c>
      <c r="H22" s="7">
        <f t="shared" si="6"/>
        <v>0.1</v>
      </c>
      <c r="J22" s="1"/>
      <c r="K22" s="1"/>
      <c r="L22" s="4"/>
      <c r="N22" t="s">
        <v>0</v>
      </c>
      <c r="Q22" t="s">
        <v>0</v>
      </c>
    </row>
    <row r="23" spans="1:17" x14ac:dyDescent="0.2">
      <c r="A23">
        <f t="shared" si="0"/>
        <v>20</v>
      </c>
      <c r="B23">
        <v>1</v>
      </c>
      <c r="C23" s="1">
        <f t="shared" si="1"/>
        <v>0.3</v>
      </c>
      <c r="D23" s="6">
        <f t="shared" si="2"/>
        <v>0.29397882715545731</v>
      </c>
      <c r="E23" s="1">
        <f t="shared" si="3"/>
        <v>5.0688320852441677</v>
      </c>
      <c r="F23" s="1">
        <f t="shared" si="4"/>
        <v>20.0705761484754</v>
      </c>
      <c r="G23" s="1">
        <f t="shared" si="5"/>
        <v>1.7191660128797996</v>
      </c>
      <c r="H23" s="7">
        <f t="shared" si="6"/>
        <v>0.1</v>
      </c>
      <c r="J23" s="1"/>
      <c r="K23" s="1"/>
      <c r="L23" s="4" t="s">
        <v>0</v>
      </c>
    </row>
    <row r="24" spans="1:17" x14ac:dyDescent="0.2">
      <c r="A24">
        <f t="shared" si="0"/>
        <v>21</v>
      </c>
      <c r="B24">
        <v>1</v>
      </c>
      <c r="C24" s="1">
        <f t="shared" si="1"/>
        <v>0.3</v>
      </c>
      <c r="D24" s="6">
        <f t="shared" si="2"/>
        <v>0.29297392733374805</v>
      </c>
      <c r="E24" s="1">
        <f t="shared" si="3"/>
        <v>5.9003244364630936</v>
      </c>
      <c r="F24" s="1">
        <f t="shared" si="4"/>
        <v>23.420242220839768</v>
      </c>
      <c r="G24" s="1">
        <f t="shared" si="5"/>
        <v>2.0070576148475401</v>
      </c>
      <c r="H24" s="7">
        <f t="shared" si="6"/>
        <v>0.1</v>
      </c>
      <c r="J24" s="1"/>
      <c r="K24" s="1"/>
      <c r="L24" s="4"/>
    </row>
    <row r="25" spans="1:17" x14ac:dyDescent="0.2">
      <c r="A25">
        <f t="shared" si="0"/>
        <v>22</v>
      </c>
      <c r="B25">
        <v>1</v>
      </c>
      <c r="C25" s="1">
        <f t="shared" si="1"/>
        <v>0.3</v>
      </c>
      <c r="D25" s="6">
        <f t="shared" si="2"/>
        <v>0.29180594728726339</v>
      </c>
      <c r="E25" s="1">
        <f t="shared" si="3"/>
        <v>6.8615203425470881</v>
      </c>
      <c r="F25" s="1">
        <f t="shared" si="4"/>
        <v>27.313509042455323</v>
      </c>
      <c r="G25" s="1">
        <f t="shared" si="5"/>
        <v>2.3420242220839769</v>
      </c>
      <c r="H25" s="7">
        <f t="shared" si="6"/>
        <v>0.1</v>
      </c>
      <c r="J25" s="1"/>
      <c r="K25" s="1"/>
      <c r="L25" s="4"/>
    </row>
    <row r="26" spans="1:17" x14ac:dyDescent="0.2">
      <c r="A26">
        <f t="shared" si="0"/>
        <v>23</v>
      </c>
      <c r="B26">
        <v>1</v>
      </c>
      <c r="C26" s="1">
        <f t="shared" si="1"/>
        <v>0.3</v>
      </c>
      <c r="D26" s="6">
        <f t="shared" si="2"/>
        <v>0.29045009845112446</v>
      </c>
      <c r="E26" s="1">
        <f t="shared" si="3"/>
        <v>7.9702443798729101</v>
      </c>
      <c r="F26" s="1">
        <f t="shared" si="4"/>
        <v>31.833005162918433</v>
      </c>
      <c r="G26" s="1">
        <f t="shared" si="5"/>
        <v>2.7313509042455326</v>
      </c>
      <c r="H26" s="7">
        <f t="shared" si="6"/>
        <v>0.1</v>
      </c>
      <c r="J26" s="1"/>
      <c r="K26" s="1" t="s">
        <v>0</v>
      </c>
      <c r="L26" s="4"/>
    </row>
    <row r="27" spans="1:17" x14ac:dyDescent="0.2">
      <c r="A27">
        <f t="shared" si="0"/>
        <v>24</v>
      </c>
      <c r="B27">
        <v>1</v>
      </c>
      <c r="C27" s="1">
        <f t="shared" si="1"/>
        <v>0.3</v>
      </c>
      <c r="D27" s="6">
        <f t="shared" si="2"/>
        <v>0.28887843040843625</v>
      </c>
      <c r="E27" s="1">
        <f t="shared" si="3"/>
        <v>9.2458994835648127</v>
      </c>
      <c r="F27" s="1">
        <f t="shared" si="4"/>
        <v>37.071898638545811</v>
      </c>
      <c r="G27" s="1">
        <f t="shared" si="5"/>
        <v>3.1833005162918435</v>
      </c>
      <c r="H27" s="7">
        <f t="shared" si="6"/>
        <v>0.1</v>
      </c>
      <c r="J27" s="1"/>
      <c r="K27" s="1"/>
      <c r="L27" s="4"/>
      <c r="M27" t="s">
        <v>0</v>
      </c>
    </row>
    <row r="28" spans="1:17" x14ac:dyDescent="0.2">
      <c r="A28">
        <f t="shared" si="0"/>
        <v>25</v>
      </c>
      <c r="B28">
        <v>1</v>
      </c>
      <c r="C28" s="1">
        <f t="shared" si="1"/>
        <v>0.3</v>
      </c>
      <c r="D28" s="6">
        <f t="shared" si="2"/>
        <v>0.2870596507182544</v>
      </c>
      <c r="E28" s="1">
        <f t="shared" si="3"/>
        <v>10.709271890963759</v>
      </c>
      <c r="F28" s="1">
        <f t="shared" si="4"/>
        <v>43.13449760581878</v>
      </c>
      <c r="G28" s="1">
        <f t="shared" si="5"/>
        <v>3.7071898638545813</v>
      </c>
      <c r="H28" s="7">
        <f t="shared" si="6"/>
        <v>0.1</v>
      </c>
      <c r="J28" s="1"/>
      <c r="K28" s="1" t="s">
        <v>0</v>
      </c>
      <c r="L28" s="4"/>
    </row>
    <row r="29" spans="1:17" x14ac:dyDescent="0.2">
      <c r="A29">
        <f t="shared" si="0"/>
        <v>26</v>
      </c>
      <c r="B29">
        <v>1</v>
      </c>
      <c r="C29" s="1">
        <f t="shared" si="1"/>
        <v>0.3</v>
      </c>
      <c r="D29" s="6">
        <f t="shared" si="2"/>
        <v>0.28495902611012164</v>
      </c>
      <c r="E29" s="1">
        <f t="shared" si="3"/>
        <v>12.382173816633719</v>
      </c>
      <c r="F29" s="1">
        <f t="shared" si="4"/>
        <v>50.136579632927955</v>
      </c>
      <c r="G29" s="1">
        <f t="shared" si="5"/>
        <v>4.3134497605818778</v>
      </c>
      <c r="H29" s="7">
        <f t="shared" si="6"/>
        <v>0.1</v>
      </c>
      <c r="J29" s="1"/>
      <c r="K29" s="1"/>
      <c r="L29" s="4"/>
    </row>
    <row r="30" spans="1:17" x14ac:dyDescent="0.2">
      <c r="A30">
        <f t="shared" si="0"/>
        <v>27</v>
      </c>
      <c r="B30">
        <v>1</v>
      </c>
      <c r="C30" s="1">
        <f t="shared" si="1"/>
        <v>0.3</v>
      </c>
      <c r="D30" s="6">
        <f t="shared" si="2"/>
        <v>0.28253840889330606</v>
      </c>
      <c r="E30" s="1">
        <f t="shared" si="3"/>
        <v>14.28687090469171</v>
      </c>
      <c r="F30" s="1">
        <f t="shared" si="4"/>
        <v>58.205303688979797</v>
      </c>
      <c r="G30" s="1">
        <f t="shared" si="5"/>
        <v>5.013657963292796</v>
      </c>
      <c r="H30" s="7">
        <f t="shared" si="6"/>
        <v>0.1</v>
      </c>
      <c r="J30" s="1"/>
      <c r="K30" s="1"/>
      <c r="L30" s="4"/>
    </row>
    <row r="31" spans="1:17" x14ac:dyDescent="0.2">
      <c r="A31">
        <f t="shared" si="0"/>
        <v>28</v>
      </c>
      <c r="B31">
        <v>1</v>
      </c>
      <c r="C31" s="1">
        <f t="shared" si="1"/>
        <v>0.3</v>
      </c>
      <c r="D31" s="6">
        <f t="shared" si="2"/>
        <v>0.27975644501088637</v>
      </c>
      <c r="E31" s="1">
        <f t="shared" si="3"/>
        <v>16.445233893436029</v>
      </c>
      <c r="F31" s="1">
        <f t="shared" si="4"/>
        <v>67.478516630378707</v>
      </c>
      <c r="G31" s="1">
        <f t="shared" si="5"/>
        <v>5.8205303688979804</v>
      </c>
      <c r="H31" s="7">
        <f t="shared" si="6"/>
        <v>0.1</v>
      </c>
      <c r="J31" s="1"/>
      <c r="K31" s="1"/>
      <c r="L31" s="4"/>
    </row>
    <row r="32" spans="1:17" x14ac:dyDescent="0.2">
      <c r="A32">
        <f t="shared" si="0"/>
        <v>29</v>
      </c>
      <c r="B32">
        <v>1</v>
      </c>
      <c r="C32" s="1">
        <f t="shared" si="1"/>
        <v>0.3</v>
      </c>
      <c r="D32" s="6">
        <f t="shared" si="2"/>
        <v>0.276569033953525</v>
      </c>
      <c r="E32" s="1">
        <f t="shared" si="3"/>
        <v>18.877549927122722</v>
      </c>
      <c r="F32" s="1">
        <f t="shared" si="4"/>
        <v>78.103220154916755</v>
      </c>
      <c r="G32" s="1">
        <f t="shared" si="5"/>
        <v>6.7478516630378707</v>
      </c>
      <c r="H32" s="7">
        <f t="shared" si="6"/>
        <v>0.1</v>
      </c>
      <c r="J32" s="1" t="s">
        <v>0</v>
      </c>
      <c r="K32" s="1"/>
      <c r="L32" s="4"/>
    </row>
    <row r="33" spans="1:15" x14ac:dyDescent="0.2">
      <c r="A33">
        <f t="shared" si="0"/>
        <v>30</v>
      </c>
      <c r="B33">
        <v>1</v>
      </c>
      <c r="C33" s="1">
        <f t="shared" si="1"/>
        <v>0.3</v>
      </c>
      <c r="D33" s="6">
        <f t="shared" si="2"/>
        <v>0.27293012447429948</v>
      </c>
      <c r="E33" s="1">
        <f t="shared" si="3"/>
        <v>21.60093214690481</v>
      </c>
      <c r="F33" s="1">
        <f t="shared" si="4"/>
        <v>90.232918419001606</v>
      </c>
      <c r="G33" s="1">
        <f t="shared" si="5"/>
        <v>7.8103220154916757</v>
      </c>
      <c r="H33" s="7">
        <f t="shared" si="6"/>
        <v>0.1</v>
      </c>
      <c r="J33" s="1" t="s">
        <v>0</v>
      </c>
      <c r="K33" s="1"/>
      <c r="L33" s="4"/>
    </row>
    <row r="34" spans="1:15" x14ac:dyDescent="0.2">
      <c r="A34">
        <f t="shared" si="0"/>
        <v>31</v>
      </c>
      <c r="B34">
        <v>1</v>
      </c>
      <c r="C34" s="1">
        <f t="shared" si="1"/>
        <v>0.3</v>
      </c>
      <c r="D34" s="6">
        <f t="shared" si="2"/>
        <v>0.26879294143487553</v>
      </c>
      <c r="E34" s="1">
        <f t="shared" si="3"/>
        <v>24.62728165577742</v>
      </c>
      <c r="F34" s="1">
        <f t="shared" si="4"/>
        <v>104.02352855041474</v>
      </c>
      <c r="G34" s="1">
        <f t="shared" si="5"/>
        <v>9.0232918419001606</v>
      </c>
      <c r="H34" s="7">
        <f t="shared" si="6"/>
        <v>0.1</v>
      </c>
      <c r="J34" s="1"/>
      <c r="K34" s="1"/>
      <c r="L34" s="4"/>
    </row>
    <row r="35" spans="1:15" x14ac:dyDescent="0.2">
      <c r="A35">
        <f t="shared" si="0"/>
        <v>32</v>
      </c>
      <c r="B35">
        <v>1</v>
      </c>
      <c r="C35" s="1">
        <f t="shared" si="1"/>
        <v>0.3</v>
      </c>
      <c r="D35" s="6">
        <f t="shared" si="2"/>
        <v>0.2641117444907124</v>
      </c>
      <c r="E35" s="1">
        <f t="shared" si="3"/>
        <v>27.960790217500733</v>
      </c>
      <c r="F35" s="1">
        <f t="shared" si="4"/>
        <v>119.627518364292</v>
      </c>
      <c r="G35" s="1">
        <f t="shared" si="5"/>
        <v>10.402352855041475</v>
      </c>
      <c r="H35" s="7">
        <f t="shared" si="6"/>
        <v>0.1</v>
      </c>
      <c r="J35" s="1"/>
      <c r="K35" s="1"/>
      <c r="L35" s="4"/>
      <c r="O35" t="s">
        <v>0</v>
      </c>
    </row>
    <row r="36" spans="1:15" x14ac:dyDescent="0.2">
      <c r="A36">
        <f t="shared" si="0"/>
        <v>33</v>
      </c>
      <c r="B36">
        <v>1</v>
      </c>
      <c r="C36" s="1">
        <f t="shared" si="1"/>
        <v>0.3</v>
      </c>
      <c r="D36" s="6">
        <f t="shared" si="2"/>
        <v>0.25884421328197466</v>
      </c>
      <c r="E36" s="1">
        <f t="shared" si="3"/>
        <v>31.595032564287894</v>
      </c>
      <c r="F36" s="1">
        <f t="shared" si="4"/>
        <v>137.18595572675127</v>
      </c>
      <c r="G36" s="1">
        <f t="shared" si="5"/>
        <v>11.9627518364292</v>
      </c>
      <c r="H36" s="7">
        <f t="shared" si="6"/>
        <v>0.1</v>
      </c>
      <c r="J36" s="1"/>
      <c r="K36" s="1"/>
      <c r="L36" s="4"/>
    </row>
    <row r="37" spans="1:15" x14ac:dyDescent="0.2">
      <c r="A37">
        <f t="shared" si="0"/>
        <v>34</v>
      </c>
      <c r="B37">
        <v>1</v>
      </c>
      <c r="C37" s="1">
        <f t="shared" si="1"/>
        <v>0.3</v>
      </c>
      <c r="D37" s="6">
        <f t="shared" si="2"/>
        <v>0.25295452906361698</v>
      </c>
      <c r="E37" s="1">
        <f t="shared" si="3"/>
        <v>35.509790783426737</v>
      </c>
      <c r="F37" s="1">
        <f t="shared" si="4"/>
        <v>156.81823645460997</v>
      </c>
      <c r="G37" s="1">
        <f t="shared" si="5"/>
        <v>13.718595572675127</v>
      </c>
      <c r="H37" s="7">
        <f t="shared" si="6"/>
        <v>0.1</v>
      </c>
      <c r="J37" s="1"/>
      <c r="K37" s="1"/>
      <c r="L37" s="4"/>
    </row>
    <row r="38" spans="1:15" x14ac:dyDescent="0.2">
      <c r="A38">
        <f t="shared" si="0"/>
        <v>35</v>
      </c>
      <c r="B38">
        <v>1</v>
      </c>
      <c r="C38" s="1">
        <f t="shared" si="1"/>
        <v>0.3</v>
      </c>
      <c r="D38" s="6">
        <f t="shared" si="2"/>
        <v>0.2464171705003915</v>
      </c>
      <c r="E38" s="1">
        <f t="shared" si="3"/>
        <v>39.667883150962801</v>
      </c>
      <c r="F38" s="1">
        <f t="shared" si="4"/>
        <v>178.60943166536157</v>
      </c>
      <c r="G38" s="1">
        <f t="shared" si="5"/>
        <v>15.681823645460998</v>
      </c>
      <c r="H38" s="7">
        <f t="shared" si="6"/>
        <v>0.1</v>
      </c>
      <c r="J38" s="1"/>
      <c r="K38" s="1"/>
      <c r="L38" s="4"/>
    </row>
    <row r="39" spans="1:15" x14ac:dyDescent="0.2">
      <c r="A39">
        <f t="shared" si="0"/>
        <v>36</v>
      </c>
      <c r="B39">
        <v>1</v>
      </c>
      <c r="C39" s="1">
        <f t="shared" si="1"/>
        <v>0.3</v>
      </c>
      <c r="D39" s="6">
        <f t="shared" si="2"/>
        <v>0.23922135264874098</v>
      </c>
      <c r="E39" s="1">
        <f t="shared" si="3"/>
        <v>44.012430775661429</v>
      </c>
      <c r="F39" s="1">
        <f t="shared" si="4"/>
        <v>202.59549117086337</v>
      </c>
      <c r="G39" s="1">
        <f t="shared" si="5"/>
        <v>17.860943166536156</v>
      </c>
      <c r="H39" s="7">
        <f t="shared" si="6"/>
        <v>0.1</v>
      </c>
      <c r="J39" s="1"/>
      <c r="K39" s="1"/>
      <c r="L39" s="4"/>
    </row>
    <row r="40" spans="1:15" x14ac:dyDescent="0.2">
      <c r="A40">
        <f t="shared" si="0"/>
        <v>37</v>
      </c>
      <c r="B40">
        <v>1</v>
      </c>
      <c r="C40" s="1">
        <f t="shared" si="1"/>
        <v>0.3</v>
      </c>
      <c r="D40" s="6">
        <f t="shared" si="2"/>
        <v>0.23137590636600339</v>
      </c>
      <c r="E40" s="1">
        <f t="shared" si="3"/>
        <v>48.465167438429994</v>
      </c>
      <c r="F40" s="1">
        <f t="shared" si="4"/>
        <v>228.74697877998864</v>
      </c>
      <c r="G40" s="1">
        <f t="shared" si="5"/>
        <v>20.259549117086337</v>
      </c>
      <c r="H40" s="7">
        <f t="shared" si="6"/>
        <v>0.1</v>
      </c>
      <c r="J40" s="1"/>
      <c r="K40" s="1"/>
      <c r="L40" s="4"/>
    </row>
    <row r="41" spans="1:15" x14ac:dyDescent="0.2">
      <c r="A41">
        <f t="shared" si="0"/>
        <v>38</v>
      </c>
      <c r="B41">
        <v>1</v>
      </c>
      <c r="C41" s="1">
        <f t="shared" si="1"/>
        <v>0.3</v>
      </c>
      <c r="D41" s="6">
        <f t="shared" si="2"/>
        <v>0.2229142208696003</v>
      </c>
      <c r="E41" s="1">
        <f t="shared" si="3"/>
        <v>52.926539543704813</v>
      </c>
      <c r="F41" s="1">
        <f t="shared" si="4"/>
        <v>256.95259710133229</v>
      </c>
      <c r="G41" s="1">
        <f t="shared" si="5"/>
        <v>22.874697877998866</v>
      </c>
      <c r="H41" s="7">
        <f t="shared" si="6"/>
        <v>0.1</v>
      </c>
      <c r="J41" s="1"/>
      <c r="K41" s="1"/>
      <c r="L41" s="4"/>
    </row>
    <row r="42" spans="1:15" x14ac:dyDescent="0.2">
      <c r="A42">
        <f t="shared" si="0"/>
        <v>39</v>
      </c>
      <c r="B42">
        <v>1</v>
      </c>
      <c r="C42" s="1">
        <f t="shared" si="1"/>
        <v>0.3</v>
      </c>
      <c r="D42" s="6">
        <f t="shared" si="2"/>
        <v>0.21389866836988852</v>
      </c>
      <c r="E42" s="1">
        <f t="shared" si="3"/>
        <v>57.278387983263805</v>
      </c>
      <c r="F42" s="1">
        <f t="shared" si="4"/>
        <v>287.00443876703821</v>
      </c>
      <c r="G42" s="1">
        <f t="shared" si="5"/>
        <v>25.695259710133229</v>
      </c>
      <c r="H42" s="7">
        <f t="shared" si="6"/>
        <v>0.1</v>
      </c>
      <c r="J42" s="1"/>
      <c r="K42" s="1"/>
      <c r="L42" s="4"/>
    </row>
    <row r="43" spans="1:15" x14ac:dyDescent="0.2">
      <c r="A43">
        <f t="shared" si="0"/>
        <v>40</v>
      </c>
      <c r="B43">
        <v>1</v>
      </c>
      <c r="C43" s="1">
        <f t="shared" si="1"/>
        <v>0.3</v>
      </c>
      <c r="D43" s="6">
        <f t="shared" si="2"/>
        <v>0.20442372988794935</v>
      </c>
      <c r="E43" s="1">
        <f t="shared" si="3"/>
        <v>61.389867268516682</v>
      </c>
      <c r="F43" s="1">
        <f t="shared" si="4"/>
        <v>318.58756704016878</v>
      </c>
      <c r="G43" s="1">
        <f t="shared" si="5"/>
        <v>28.700443876703822</v>
      </c>
      <c r="H43" s="7">
        <f t="shared" si="6"/>
        <v>0.1</v>
      </c>
      <c r="J43" s="1"/>
      <c r="K43" s="1"/>
      <c r="L43" s="4"/>
    </row>
    <row r="44" spans="1:15" x14ac:dyDescent="0.2">
      <c r="A44">
        <f t="shared" si="0"/>
        <v>41</v>
      </c>
      <c r="B44">
        <v>1</v>
      </c>
      <c r="C44" s="1">
        <f t="shared" si="1"/>
        <v>0.3</v>
      </c>
      <c r="D44" s="6">
        <f t="shared" si="2"/>
        <v>0.19461690287040551</v>
      </c>
      <c r="E44" s="1">
        <f t="shared" si="3"/>
        <v>65.126858750278416</v>
      </c>
      <c r="F44" s="1">
        <f t="shared" si="4"/>
        <v>351.27699043198163</v>
      </c>
      <c r="G44" s="1">
        <f t="shared" si="5"/>
        <v>31.85875670401688</v>
      </c>
      <c r="H44" s="7">
        <f t="shared" si="6"/>
        <v>0.1</v>
      </c>
      <c r="J44" s="1"/>
      <c r="K44" s="1"/>
      <c r="L44" s="4"/>
    </row>
    <row r="45" spans="1:15" x14ac:dyDescent="0.2">
      <c r="A45">
        <f t="shared" si="0"/>
        <v>42</v>
      </c>
      <c r="B45">
        <v>1</v>
      </c>
      <c r="C45" s="1">
        <f t="shared" si="1"/>
        <v>0.3</v>
      </c>
      <c r="D45" s="6">
        <f t="shared" si="2"/>
        <v>0.18463647225652705</v>
      </c>
      <c r="E45" s="1">
        <f t="shared" si="3"/>
        <v>68.364439927509338</v>
      </c>
      <c r="F45" s="1">
        <f t="shared" si="4"/>
        <v>384.54509247824319</v>
      </c>
      <c r="G45" s="1">
        <f t="shared" si="5"/>
        <v>35.127699043198163</v>
      </c>
      <c r="H45" s="7">
        <f t="shared" si="6"/>
        <v>0.1</v>
      </c>
      <c r="J45" s="1"/>
      <c r="K45" s="1"/>
      <c r="L45" s="4"/>
    </row>
    <row r="46" spans="1:15" x14ac:dyDescent="0.2">
      <c r="A46">
        <f t="shared" si="0"/>
        <v>43</v>
      </c>
      <c r="B46">
        <v>1</v>
      </c>
      <c r="C46" s="1">
        <f t="shared" si="1"/>
        <v>0.3</v>
      </c>
      <c r="D46" s="6">
        <f t="shared" si="2"/>
        <v>0.17466544999123368</v>
      </c>
      <c r="E46" s="1">
        <f t="shared" si="3"/>
        <v>71.001049298742771</v>
      </c>
      <c r="F46" s="1">
        <f t="shared" si="4"/>
        <v>417.78183336255438</v>
      </c>
      <c r="G46" s="1">
        <f t="shared" si="5"/>
        <v>38.454509247824319</v>
      </c>
      <c r="H46" s="7">
        <f t="shared" si="6"/>
        <v>0.1</v>
      </c>
      <c r="J46" s="1"/>
      <c r="K46" s="1"/>
      <c r="L46" s="4"/>
    </row>
    <row r="47" spans="1:15" x14ac:dyDescent="0.2">
      <c r="A47">
        <f t="shared" si="0"/>
        <v>44</v>
      </c>
      <c r="B47">
        <v>1</v>
      </c>
      <c r="C47" s="1">
        <f t="shared" si="1"/>
        <v>0.3</v>
      </c>
      <c r="D47" s="6">
        <f t="shared" si="2"/>
        <v>0.16490148797595813</v>
      </c>
      <c r="E47" s="1">
        <f t="shared" si="3"/>
        <v>72.972051922433167</v>
      </c>
      <c r="F47" s="1">
        <f t="shared" si="4"/>
        <v>450.32837341347283</v>
      </c>
      <c r="G47" s="1">
        <f t="shared" si="5"/>
        <v>41.778183336255438</v>
      </c>
      <c r="H47" s="7">
        <f t="shared" si="6"/>
        <v>0.1</v>
      </c>
      <c r="J47" s="1"/>
      <c r="K47" s="1"/>
      <c r="L47" s="4"/>
    </row>
    <row r="48" spans="1:15" x14ac:dyDescent="0.2">
      <c r="A48">
        <f t="shared" si="0"/>
        <v>45</v>
      </c>
      <c r="B48">
        <v>1</v>
      </c>
      <c r="C48" s="1">
        <f t="shared" si="1"/>
        <v>0.3</v>
      </c>
      <c r="D48" s="6">
        <f t="shared" si="2"/>
        <v>0.15554332740010482</v>
      </c>
      <c r="E48" s="1">
        <f t="shared" si="3"/>
        <v>74.259818853674574</v>
      </c>
      <c r="F48" s="1">
        <f t="shared" si="4"/>
        <v>481.52224199965053</v>
      </c>
      <c r="G48" s="1">
        <f t="shared" si="5"/>
        <v>45.032837341347289</v>
      </c>
      <c r="H48" s="7">
        <f t="shared" si="6"/>
        <v>0.1</v>
      </c>
      <c r="J48" s="1"/>
      <c r="K48" s="1"/>
      <c r="L48" s="4"/>
      <c r="O48" t="s">
        <v>0</v>
      </c>
    </row>
    <row r="49" spans="1:12" x14ac:dyDescent="0.2">
      <c r="A49">
        <f t="shared" si="0"/>
        <v>46</v>
      </c>
      <c r="B49">
        <v>1</v>
      </c>
      <c r="C49" s="1">
        <f t="shared" si="1"/>
        <v>0.3</v>
      </c>
      <c r="D49" s="6">
        <f t="shared" si="2"/>
        <v>0.14677523294640665</v>
      </c>
      <c r="E49" s="1">
        <f t="shared" si="3"/>
        <v>74.897571737784148</v>
      </c>
      <c r="F49" s="1">
        <f t="shared" si="4"/>
        <v>510.74922351197779</v>
      </c>
      <c r="G49" s="1">
        <f t="shared" si="5"/>
        <v>48.152224199965055</v>
      </c>
      <c r="H49" s="7">
        <f t="shared" si="6"/>
        <v>0.1</v>
      </c>
      <c r="J49" s="1"/>
      <c r="K49" s="1"/>
      <c r="L49" s="4"/>
    </row>
    <row r="50" spans="1:12" x14ac:dyDescent="0.2">
      <c r="A50">
        <f t="shared" si="0"/>
        <v>47</v>
      </c>
      <c r="B50">
        <v>1</v>
      </c>
      <c r="C50" s="1">
        <f t="shared" si="1"/>
        <v>0.3</v>
      </c>
      <c r="D50" s="6">
        <f t="shared" si="2"/>
        <v>0.13875162868506094</v>
      </c>
      <c r="E50" s="1">
        <f t="shared" si="3"/>
        <v>74.965336258166857</v>
      </c>
      <c r="F50" s="1">
        <f t="shared" si="4"/>
        <v>537.49457104979683</v>
      </c>
      <c r="G50" s="1">
        <f t="shared" si="5"/>
        <v>51.074922351197785</v>
      </c>
      <c r="H50" s="7">
        <f t="shared" si="6"/>
        <v>0.1</v>
      </c>
      <c r="J50" s="1"/>
      <c r="K50" s="1"/>
      <c r="L50" s="4"/>
    </row>
    <row r="51" spans="1:12" x14ac:dyDescent="0.2">
      <c r="A51">
        <f t="shared" si="0"/>
        <v>48</v>
      </c>
      <c r="B51">
        <v>1</v>
      </c>
      <c r="C51" s="1">
        <f t="shared" si="1"/>
        <v>0.3</v>
      </c>
      <c r="D51" s="6">
        <f t="shared" si="2"/>
        <v>0.13158450451297019</v>
      </c>
      <c r="E51" s="1">
        <f t="shared" si="3"/>
        <v>74.578247142537521</v>
      </c>
      <c r="F51" s="1">
        <f t="shared" si="4"/>
        <v>561.38498495676595</v>
      </c>
      <c r="G51" s="1">
        <f t="shared" si="5"/>
        <v>53.749457104979683</v>
      </c>
      <c r="H51" s="7">
        <f t="shared" si="6"/>
        <v>0.1</v>
      </c>
      <c r="J51" s="1"/>
      <c r="K51" s="1"/>
      <c r="L51" s="4"/>
    </row>
    <row r="52" spans="1:12" x14ac:dyDescent="0.2">
      <c r="A52">
        <f t="shared" si="0"/>
        <v>49</v>
      </c>
      <c r="B52">
        <v>1</v>
      </c>
      <c r="C52" s="1">
        <f t="shared" si="1"/>
        <v>0.3</v>
      </c>
      <c r="D52" s="6">
        <f t="shared" si="2"/>
        <v>0.12533586750170286</v>
      </c>
      <c r="E52" s="1">
        <f t="shared" si="3"/>
        <v>73.869565086557273</v>
      </c>
      <c r="F52" s="1">
        <f t="shared" si="4"/>
        <v>582.21377499432378</v>
      </c>
      <c r="G52" s="1">
        <f t="shared" si="5"/>
        <v>56.1384984956766</v>
      </c>
      <c r="H52" s="7">
        <f t="shared" si="6"/>
        <v>0.1</v>
      </c>
      <c r="J52" s="1"/>
      <c r="K52" s="1"/>
      <c r="L52" s="4"/>
    </row>
    <row r="53" spans="1:12" x14ac:dyDescent="0.2">
      <c r="A53">
        <f t="shared" si="0"/>
        <v>50</v>
      </c>
      <c r="B53">
        <v>1</v>
      </c>
      <c r="C53" s="1">
        <f t="shared" si="1"/>
        <v>0.3</v>
      </c>
      <c r="D53" s="6">
        <f t="shared" si="2"/>
        <v>0.12001654752443865</v>
      </c>
      <c r="E53" s="1">
        <f t="shared" si="3"/>
        <v>72.972268560354806</v>
      </c>
      <c r="F53" s="1">
        <f t="shared" si="4"/>
        <v>599.94484158520447</v>
      </c>
      <c r="G53" s="1">
        <f t="shared" si="5"/>
        <v>58.221377499432378</v>
      </c>
      <c r="H53" s="7">
        <f t="shared" si="6"/>
        <v>0.1</v>
      </c>
      <c r="J53" s="1"/>
      <c r="K53" s="1"/>
      <c r="L53" s="4"/>
    </row>
    <row r="54" spans="1:12" x14ac:dyDescent="0.2">
      <c r="J54" s="1"/>
      <c r="K54" s="1"/>
      <c r="L54" s="4"/>
    </row>
    <row r="55" spans="1:12" x14ac:dyDescent="0.2">
      <c r="J55" s="1"/>
      <c r="K55" s="1"/>
      <c r="L55" s="4"/>
    </row>
    <row r="56" spans="1:12" x14ac:dyDescent="0.2">
      <c r="J56" s="1"/>
      <c r="K56" s="1"/>
      <c r="L56" s="4"/>
    </row>
    <row r="57" spans="1:12" x14ac:dyDescent="0.2">
      <c r="J57" s="1"/>
      <c r="K57" s="1"/>
      <c r="L57" s="4"/>
    </row>
    <row r="58" spans="1:12" x14ac:dyDescent="0.2">
      <c r="J58" s="1"/>
      <c r="K58" s="1"/>
      <c r="L58" s="4"/>
    </row>
    <row r="59" spans="1:12" x14ac:dyDescent="0.2">
      <c r="J59" s="1"/>
      <c r="K59" s="1"/>
      <c r="L59" s="4"/>
    </row>
  </sheetData>
  <phoneticPr fontId="0" type="noConversion"/>
  <pageMargins left="0.75" right="0.75" top="0.69" bottom="0.72" header="0.5" footer="0.5"/>
  <pageSetup paperSize="9" scale="65" orientation="portrait" r:id="rId1"/>
  <headerFooter alignWithMargins="0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Company>VU Amsterdam WI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Treur</dc:creator>
  <cp:lastModifiedBy>Astrid</cp:lastModifiedBy>
  <cp:lastPrinted>2007-07-27T12:31:14Z</cp:lastPrinted>
  <dcterms:created xsi:type="dcterms:W3CDTF">2007-07-27T05:30:46Z</dcterms:created>
  <dcterms:modified xsi:type="dcterms:W3CDTF">2012-06-28T10:45:51Z</dcterms:modified>
</cp:coreProperties>
</file>